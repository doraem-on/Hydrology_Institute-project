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chris.webb\Downloads\"/>
    </mc:Choice>
  </mc:AlternateContent>
  <xr:revisionPtr revIDLastSave="0" documentId="13_ncr:1_{59488EEB-CAD9-42E6-88BE-EE2E0966492B}" xr6:coauthVersionLast="47" xr6:coauthVersionMax="47" xr10:uidLastSave="{00000000-0000-0000-0000-000000000000}"/>
  <bookViews>
    <workbookView xWindow="-110" yWindow="-110" windowWidth="19420" windowHeight="10300" xr2:uid="{00000000-000D-0000-FFFF-FFFF00000000}"/>
  </bookViews>
  <sheets>
    <sheet name="Table S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200" i="2" l="1"/>
  <c r="BI199" i="2"/>
  <c r="BI198" i="2"/>
  <c r="BI197" i="2"/>
  <c r="BI196" i="2"/>
  <c r="BI195" i="2"/>
  <c r="BI194" i="2"/>
  <c r="BI193" i="2"/>
  <c r="BI192" i="2"/>
  <c r="BI191" i="2"/>
  <c r="BI190" i="2"/>
  <c r="BI189" i="2"/>
  <c r="BI188" i="2"/>
  <c r="BL6" i="2"/>
  <c r="BF6" i="2"/>
  <c r="BG27" i="2"/>
  <c r="BG26" i="2"/>
  <c r="BJ86" i="2"/>
  <c r="BJ85" i="2"/>
  <c r="BJ84" i="2"/>
  <c r="BJ83" i="2"/>
  <c r="BJ82" i="2"/>
  <c r="BJ81" i="2"/>
  <c r="BJ80" i="2"/>
  <c r="BJ79" i="2"/>
  <c r="BJ78" i="2"/>
  <c r="BJ77" i="2"/>
  <c r="BJ76" i="2"/>
  <c r="BK230" i="2"/>
  <c r="BF230" i="2"/>
  <c r="BK229" i="2"/>
  <c r="BF229" i="2"/>
  <c r="BK228" i="2"/>
  <c r="BF228" i="2"/>
  <c r="BK227" i="2"/>
  <c r="BF227" i="2"/>
  <c r="BK226" i="2"/>
  <c r="BF226" i="2"/>
</calcChain>
</file>

<file path=xl/sharedStrings.xml><?xml version="1.0" encoding="utf-8"?>
<sst xmlns="http://schemas.openxmlformats.org/spreadsheetml/2006/main" count="5304" uniqueCount="912">
  <si>
    <t>WQ Monitoring</t>
  </si>
  <si>
    <t xml:space="preserve">Is flow in the river upstream and downstream of the wetland discharge point sampled? (Y/N)  </t>
  </si>
  <si>
    <t>Has the TP concentration or load in the wetland sediments been monitored?</t>
  </si>
  <si>
    <t>Wetland design</t>
  </si>
  <si>
    <t>Type of lining</t>
  </si>
  <si>
    <t>Does it flood?</t>
  </si>
  <si>
    <t>Management/maintenance</t>
  </si>
  <si>
    <t>Is there vegetation removal? If so timing/frequency and any details on the TP/TN load removal in the vegetation?</t>
  </si>
  <si>
    <t>Is there any sediment removal? If so timing/frequency and any details on the TP/TN load removal in the sediment?</t>
  </si>
  <si>
    <t>Is there preferential flow? Are cell inlets and outlets directly opposite or are they any baffels to stop preferential flow?</t>
  </si>
  <si>
    <t xml:space="preserve">Any details on any models/methods used to size the wetland or determine the concentration discharged or load reduction it will achieve. </t>
  </si>
  <si>
    <t>Any details of the water balance (preciptation, groundwater inputs, surface water from wider catchment, evapotranspiration, infiltration to ground etc) and how they vary temporaily?</t>
  </si>
  <si>
    <t>Is there any water level management?</t>
  </si>
  <si>
    <t>Is there any flow management?</t>
  </si>
  <si>
    <t>Length to width ratio</t>
  </si>
  <si>
    <t>Mean water velocity within the wetland m/s</t>
  </si>
  <si>
    <t>Hydraulic residence time (HRT) in hours</t>
  </si>
  <si>
    <t>Is sampling of the inlet and outlet taken at the same time or is residence time being considered?</t>
  </si>
  <si>
    <t>Description of the cells (e.g. deep pools for sediment deposition, partially vegetated cell with open water, shallow fully vegetated cell etc)</t>
  </si>
  <si>
    <t>Period of monitoring i.e. timeframe from first sample to last sample.</t>
  </si>
  <si>
    <t xml:space="preserve">TP load of the substrate from representive soil samples (mg/kg) or another unit measured, include and state units </t>
  </si>
  <si>
    <t>Description of any other management/maintenance (for example chemical dosing, use of filtration media or aeration)?</t>
  </si>
  <si>
    <t>Are any other multiple benefits considered/calacuted e.g. biodiversity, microplastics, flow etc</t>
  </si>
  <si>
    <t>Sediment/soil type</t>
  </si>
  <si>
    <t>Fauna presence</t>
  </si>
  <si>
    <t>Are any chemical used? If so what?</t>
  </si>
  <si>
    <t>Publication date</t>
  </si>
  <si>
    <t>Author(s)</t>
  </si>
  <si>
    <t>Year of monitoring</t>
  </si>
  <si>
    <t>Biogeographic location</t>
  </si>
  <si>
    <t>Reference/wetland details</t>
  </si>
  <si>
    <t>Frequency of WQ sampling</t>
  </si>
  <si>
    <t>Frequency of flow sampling</t>
  </si>
  <si>
    <t>Duration of WQ sampling e.g. point sample, composite sample, continuous for 2 days etc</t>
  </si>
  <si>
    <t>Period of WQ monitoring i.e. timeframe from first sample to last sample.</t>
  </si>
  <si>
    <t>Forms of Nitrogen monitored</t>
  </si>
  <si>
    <t>Are other parameters e.g. metals, chemicals monitored</t>
  </si>
  <si>
    <t>Variablity of inlet flow</t>
  </si>
  <si>
    <t>Variablity of outlet flow</t>
  </si>
  <si>
    <t>Lat</t>
  </si>
  <si>
    <t>Long</t>
  </si>
  <si>
    <t>Climate zone</t>
  </si>
  <si>
    <t>Wetland ID</t>
  </si>
  <si>
    <t>TP conc at inlet -  average (mg/l)</t>
  </si>
  <si>
    <t xml:space="preserve">TP conc at outlet - average (mg/l) </t>
  </si>
  <si>
    <t>Flow at inlet - average m3/yr</t>
  </si>
  <si>
    <t>Flow at outlet - average m3/yr</t>
  </si>
  <si>
    <t>Water regime (intermittent/ continious etc)</t>
  </si>
  <si>
    <t>Source of water (WwTW, Agriculture/Urban etc)</t>
  </si>
  <si>
    <t>TP conc at inlet -  min (mg/l)</t>
  </si>
  <si>
    <t>TP conc at inlet -  max (mg/l)</t>
  </si>
  <si>
    <t>TP conc at inlet -  std</t>
  </si>
  <si>
    <t>TP conc at outlet -  std</t>
  </si>
  <si>
    <t>SRP conc at inlet -  std</t>
  </si>
  <si>
    <t>SRP conc at outlet -  std</t>
  </si>
  <si>
    <t>Flow monitoring</t>
  </si>
  <si>
    <t>SRP load at inlet (g/m2/yr)</t>
  </si>
  <si>
    <t>SRP load at outlet (g/m2/yr)</t>
  </si>
  <si>
    <t>Loads/reduction efficiencies</t>
  </si>
  <si>
    <t>Cell ID</t>
  </si>
  <si>
    <t>Air temp oC</t>
  </si>
  <si>
    <t>Rainfall mm/yr</t>
  </si>
  <si>
    <t>Number of samples (n)</t>
  </si>
  <si>
    <t>Ref ID No</t>
  </si>
  <si>
    <t>Sample ID</t>
  </si>
  <si>
    <t>Chen, H., Ivanoff, D., Pietro, K.</t>
  </si>
  <si>
    <t>STA-1E</t>
  </si>
  <si>
    <t>2006-2011</t>
  </si>
  <si>
    <t>Number of years monitored</t>
  </si>
  <si>
    <t>USA/Florida</t>
  </si>
  <si>
    <t>STA-1W</t>
  </si>
  <si>
    <t>STA-2</t>
  </si>
  <si>
    <t>STA-3/4</t>
  </si>
  <si>
    <t>STA-5</t>
  </si>
  <si>
    <t>STA-6</t>
  </si>
  <si>
    <t>1995-2011</t>
  </si>
  <si>
    <t>2002-2011</t>
  </si>
  <si>
    <t>2005-2011</t>
  </si>
  <si>
    <t>2001-2011</t>
  </si>
  <si>
    <t>1999-2011</t>
  </si>
  <si>
    <t>Aw</t>
  </si>
  <si>
    <t>Agricultural run off</t>
  </si>
  <si>
    <t>Precipitation driven</t>
  </si>
  <si>
    <t>no</t>
  </si>
  <si>
    <t>Hydraulic loading rate (HLR) m/yr</t>
  </si>
  <si>
    <t>Wetland area (m2)</t>
  </si>
  <si>
    <t>Age of wetland when monitoring was started (months)</t>
  </si>
  <si>
    <t>No</t>
  </si>
  <si>
    <t>Yes</t>
  </si>
  <si>
    <t>TP loading rate at inlet (g/m2/yr)</t>
  </si>
  <si>
    <t>TP loading rate at outlet (g/m2/yr)</t>
  </si>
  <si>
    <t>k value m/yr</t>
  </si>
  <si>
    <t>Natural wetland</t>
  </si>
  <si>
    <t>Vegetation type 2</t>
  </si>
  <si>
    <t>Vegetation type 1 (dominant)</t>
  </si>
  <si>
    <t>Submerged</t>
  </si>
  <si>
    <t>Emergent</t>
  </si>
  <si>
    <t>Max number of cell water passes through</t>
  </si>
  <si>
    <t>Total number of cells in wetland</t>
  </si>
  <si>
    <t>mostly sandy, low fertility</t>
  </si>
  <si>
    <t>Peat-Based</t>
  </si>
  <si>
    <t>Peat based, loamy, or sandy</t>
  </si>
  <si>
    <t>Thin, loamy or sandy</t>
  </si>
  <si>
    <t>Peat based or sandy</t>
  </si>
  <si>
    <t>not lined</t>
  </si>
  <si>
    <t>Average vegetation cover type 1 %</t>
  </si>
  <si>
    <t>Average vegetation cover type 2 %</t>
  </si>
  <si>
    <t>Flow weighted mean</t>
  </si>
  <si>
    <t>Dunne E.J.; Coveney M.F.; Marzolf E.R.; Hoge V.R.; Conrow R.; Naleway R.; Lowe E.F.; Battoe L.E.</t>
  </si>
  <si>
    <t>Lake Apopka MFW</t>
  </si>
  <si>
    <t>160-600</t>
  </si>
  <si>
    <t>Notes</t>
  </si>
  <si>
    <t>point</t>
  </si>
  <si>
    <t>Scale (full/pilot)</t>
  </si>
  <si>
    <t>Kadlec, R.H., Pries, J., Lee, K.</t>
  </si>
  <si>
    <t xml:space="preserve">Li, H., Liu, F., Luo, P., Xie, G., Xiao, R., Hu, W., Peng, J., Wu, J. </t>
  </si>
  <si>
    <t>Li, D., Ye, B., Hou, Z., Chu, Z., Zheng, B.</t>
  </si>
  <si>
    <t>Pu, Y., Li, Y., Zhu, L., Cheng, Y., Nuamah, L.A., Zhang, H., Chen, H., Du, G., Wang, L., Song, C.</t>
  </si>
  <si>
    <t>Zheng, Y., Wang, X., Dzakpasu, M., Zhao, Y., Ngo, H.H., Guo, W., Ge, Y., Xiong, J.</t>
  </si>
  <si>
    <t>Mendes, L.R.D., Tonderski, K., Iversen, B.V., Kjaergaard, C.</t>
  </si>
  <si>
    <r>
      <t>Koskiaho, J., Ekholm, P., R</t>
    </r>
    <r>
      <rPr>
        <sz val="11"/>
        <color theme="1"/>
        <rFont val="Calibri"/>
        <family val="2"/>
      </rPr>
      <t>äty, M., Riihimäki, J., Puustinen, M.</t>
    </r>
  </si>
  <si>
    <t>Koskiaho, J., Puustinen, M.</t>
  </si>
  <si>
    <t>Moustafa, M.Z., Chimney, M.J., Fontaine, T.D., Shih, G., Davis, S.</t>
  </si>
  <si>
    <t>Gu, B., Dreschel, T.</t>
  </si>
  <si>
    <t>Juston, J., DeBusk, T.A.</t>
  </si>
  <si>
    <t>Zhao, H., Piccone, T.</t>
  </si>
  <si>
    <t>Zamorano, M.F., Piccone, T., Chimney, M.J., James, R.T., Grace, K.A., Zhao, H.</t>
  </si>
  <si>
    <t>Griffiths, L.N., Mitsch, W.J.</t>
  </si>
  <si>
    <t>Nesbit, T.A., Mitsch, W.J</t>
  </si>
  <si>
    <t>Dunne, E.J., Coveney, M.F., Hoge, V.R., Conrow, R., Naleway, R., Lowe, E.F., Battoe, L.E., Wang, Y</t>
  </si>
  <si>
    <t>Toet, S., Van Logtestijn, R.S.P., Schreijer, M., Kampf, R., Verhoeven, J.T.A.</t>
  </si>
  <si>
    <t>Toet, S., Van Logtestijn, R.S.P., Kampf, R., Schreijer, M.,  Verhoeven, J.T.A.</t>
  </si>
  <si>
    <t>Braskerud, B.C.</t>
  </si>
  <si>
    <t>Oliver, N., Martín, M., Gargallo, S., Hernández-Crespo, C.</t>
  </si>
  <si>
    <t>Hernández-Crespo, C., Gargallo, S., Benedito-Durá, V., Nácher-Rodríguez, B., Rodrigo-Alacreu, M.A., Martín, M.</t>
  </si>
  <si>
    <t>Martín, M., Oliver, N., Hernández-Crespo, C., Gargallo, S., Regidor, M.C.</t>
  </si>
  <si>
    <t>Waara, S., Wojciechowska, E.</t>
  </si>
  <si>
    <t>Ulén, B., Geranmayeh, P., Blomberg, M., Bieroza, M.</t>
  </si>
  <si>
    <t>Johannesson, K.M., Andersson, J.L., Tonderski, K.S.</t>
  </si>
  <si>
    <t>Johannesson, K.M., Tonderski, K.S., Ehde, P.M., Weisner, S.E.B.</t>
  </si>
  <si>
    <t>Tunçsiper, B.</t>
  </si>
  <si>
    <t>Andersen, D.C., Sartoris, J.J., Thullen, J.S., Reusch, P.G.</t>
  </si>
  <si>
    <t>Kovacic, D.A., Twait, R.M., Wallace, M.P., Bowling, J.M.</t>
  </si>
  <si>
    <t>Kadlec, R.H., Cuvellier, C., Stober, T.</t>
  </si>
  <si>
    <t>Abtew, W., Goforth, G., Germain, G.</t>
  </si>
  <si>
    <t>Uusheimo, S., Huotari, J., Tulonen, T., Aalto, S.L., Rissanen, A.J., Arvola, L.</t>
  </si>
  <si>
    <t>Abtew, W., Piccone, T., Pietro, K., Xue, S.K.</t>
  </si>
  <si>
    <t>Moustafa, M.Z., Havens, K.E.</t>
  </si>
  <si>
    <t>Kovacic, D.A., David, M.B., Gentry, L.E., Starks, K.M., Cooke, R.A.</t>
  </si>
  <si>
    <t>Gu, B</t>
  </si>
  <si>
    <t>Dalsgaard, J., von Ahnen, M., Naas, C., Pedersen, P.B.</t>
  </si>
  <si>
    <t>Dalsgaard, J., von Ahnen, M., Pedersen, P.B.</t>
  </si>
  <si>
    <t>El Hanandeh, A., Akrami, K.</t>
  </si>
  <si>
    <t>Knight, R.L., Winchester, B.H., Higman, J.C.</t>
  </si>
  <si>
    <t>Healy, M., Cawley, A.M.</t>
  </si>
  <si>
    <t>Tanner, C.C., Sukias, J.P.S.</t>
  </si>
  <si>
    <t>Reinhardt, M., Gächter, R., Wehrli, B., Müller, B.</t>
  </si>
  <si>
    <t>Mitsch, W.J., Cronk, J.K., Wu, X., Nairn, R.W.</t>
  </si>
  <si>
    <t>Bass, K.L., Evans, R.O.</t>
  </si>
  <si>
    <t>Cook, M.J</t>
  </si>
  <si>
    <t xml:space="preserve">Herskowitz, J </t>
  </si>
  <si>
    <t>Zhang, Y., Cui, L., Li, W., Zhang, M., Zhao, X., Wang, Y.</t>
  </si>
  <si>
    <t>Koskiaho, J., Puustinen, M., Kotamäki, N.</t>
  </si>
  <si>
    <t>Mitsch, W.J., Zhang, L., Waletzko, E., Bernal, B.</t>
  </si>
  <si>
    <t>Jia, Z., Tang, S., Luo, W., Hai, Y.</t>
  </si>
  <si>
    <t>Kill, K., Pärn, J., Lust, R., Mander, Ü., Kasak, K.</t>
  </si>
  <si>
    <t>Lavrnić, S., Braschi, I., Anconelli, S., Blasioli, S., Solimando, D., Mannini, P., Toscano, A.</t>
  </si>
  <si>
    <t>Kynkäänniemi, P., Ulén, B., Torstensson, G., Tonderski, K.S.</t>
  </si>
  <si>
    <t>Tonderski, K.S., Arheimer, B., Pers, C.B.</t>
  </si>
  <si>
    <t>Nungesser, M.K., Chimney, M.J.</t>
  </si>
  <si>
    <t>Abe, K., Komada, M., Ookuma, A.</t>
  </si>
  <si>
    <t>Kim, H.C., Yoon, C.G., Son, Y.K., Rhee, H.P., Lee, S.B.</t>
  </si>
  <si>
    <t>Braskerud, B.C., Hartnik, T., Løvstad, Ø.</t>
  </si>
  <si>
    <t>Sajn Slak, A., Bulc, T.G., Vrhovsek, D.</t>
  </si>
  <si>
    <t>Andersson, J.L., Bastviken, S.K., Tonderski, K.S.</t>
  </si>
  <si>
    <t>Denmark</t>
  </si>
  <si>
    <t>Agricultural</t>
  </si>
  <si>
    <t>Drainage catchment area (ha)</t>
  </si>
  <si>
    <t>clay moraine</t>
  </si>
  <si>
    <t>litorina sand</t>
  </si>
  <si>
    <t>litorina clay</t>
  </si>
  <si>
    <t>clay</t>
  </si>
  <si>
    <t>Full-scale</t>
  </si>
  <si>
    <t>Pilot-scale</t>
  </si>
  <si>
    <t>China/Changsha</t>
  </si>
  <si>
    <t>Field-scale</t>
  </si>
  <si>
    <t>Country/state</t>
  </si>
  <si>
    <t>composite</t>
  </si>
  <si>
    <t>Nsenga Kumwimba, M., Dzakpasu, M., Xinzhu, L., Wang, W., Jie, Z., Bao, L., Su, J., Li, X.</t>
  </si>
  <si>
    <t>Zaohe River</t>
  </si>
  <si>
    <t>Finland</t>
  </si>
  <si>
    <t>Japan</t>
  </si>
  <si>
    <t>Netherlands</t>
  </si>
  <si>
    <t>New Zealand</t>
  </si>
  <si>
    <t>Norway</t>
  </si>
  <si>
    <t>Austrailia</t>
  </si>
  <si>
    <t>Spain</t>
  </si>
  <si>
    <t>Sweden</t>
  </si>
  <si>
    <t>USA/Ohio</t>
  </si>
  <si>
    <t>USA/California</t>
  </si>
  <si>
    <t>USA/Illinois</t>
  </si>
  <si>
    <t>USA/Missouri</t>
  </si>
  <si>
    <t>Ireland</t>
  </si>
  <si>
    <t>China</t>
  </si>
  <si>
    <t>Switzerland</t>
  </si>
  <si>
    <t>USA/North Carolina</t>
  </si>
  <si>
    <t>Chan River</t>
  </si>
  <si>
    <t>Estonia</t>
  </si>
  <si>
    <t>Italy</t>
  </si>
  <si>
    <t>South Korea</t>
  </si>
  <si>
    <t>Slovenia</t>
  </si>
  <si>
    <t>1994-1997</t>
  </si>
  <si>
    <t>Canada/Ontario</t>
  </si>
  <si>
    <t>2000-2010</t>
  </si>
  <si>
    <t>2013-2015</t>
  </si>
  <si>
    <t>2014-2016</t>
  </si>
  <si>
    <t>2014-2015</t>
  </si>
  <si>
    <t>Wetland to catchment area ratio (%)</t>
  </si>
  <si>
    <t>Flow monitoring method</t>
  </si>
  <si>
    <t>Electromagnetic flowmeter</t>
  </si>
  <si>
    <t>Agriculture</t>
  </si>
  <si>
    <t>Previous land use (e.g. arable, dairy, sheep grazing etc)</t>
  </si>
  <si>
    <t>composite and point</t>
  </si>
  <si>
    <t>SRP conc at inlet -  average (mg P/ l)</t>
  </si>
  <si>
    <t xml:space="preserve">SRP conc at outlet - average (mg P/l) </t>
  </si>
  <si>
    <t>SRP conc at inlet -  min (mg P/l)</t>
  </si>
  <si>
    <t>SRP conc at inlet -  max (mg P/l)</t>
  </si>
  <si>
    <t>Sediment accumulation rates (cm/yr)</t>
  </si>
  <si>
    <t>Sedimentation pond (1m), deep pools (1m), shallow pools (0.3m)</t>
  </si>
  <si>
    <t>WwTW</t>
  </si>
  <si>
    <t xml:space="preserve">Weekly </t>
  </si>
  <si>
    <t>Hourly</t>
  </si>
  <si>
    <t>Oxidation ditch for pretreatment of ammonium</t>
  </si>
  <si>
    <t>TP removal (kg/yr)</t>
  </si>
  <si>
    <t>SRP removal (kg/yr)</t>
  </si>
  <si>
    <t>Daily</t>
  </si>
  <si>
    <t>Yes, until a relationship was determined, then only inflows were monitored</t>
  </si>
  <si>
    <t>Same</t>
  </si>
  <si>
    <t>Same time</t>
  </si>
  <si>
    <t>pH at inlet - average</t>
  </si>
  <si>
    <t>pH at outlet - average</t>
  </si>
  <si>
    <t>778180 (first year)</t>
  </si>
  <si>
    <t>Consistent atmospheric inputs throughout the year</t>
  </si>
  <si>
    <t>Clay soil</t>
  </si>
  <si>
    <t>Paddy field</t>
  </si>
  <si>
    <t>Monthly</t>
  </si>
  <si>
    <t>Type of average</t>
  </si>
  <si>
    <t>Harvested plants from April to December 2014 for different treatments (every 20 and 40 days, and when plant length was greater than 80 cm). Maximum TP content was 7.92 mg per kg dry weight in spring</t>
  </si>
  <si>
    <t>STA-2 FW1</t>
  </si>
  <si>
    <t>STA-2 FW2</t>
  </si>
  <si>
    <t>STA-2 FW3</t>
  </si>
  <si>
    <t>STA-3/4 FW1</t>
  </si>
  <si>
    <t>STA-3/4 FW2</t>
  </si>
  <si>
    <t>STA-3/4 FW3</t>
  </si>
  <si>
    <t>Cairns Channel 1</t>
  </si>
  <si>
    <t>Cairns Channel 2</t>
  </si>
  <si>
    <t>Cairns Channel 3</t>
  </si>
  <si>
    <t>Swine waste</t>
  </si>
  <si>
    <t>2010-2011</t>
  </si>
  <si>
    <t>Minimum depth of cells (m)</t>
  </si>
  <si>
    <t>Maximum depth of cells (m)</t>
  </si>
  <si>
    <t>yes</t>
  </si>
  <si>
    <t>TP conc at outlet -  min (mg/l)</t>
  </si>
  <si>
    <t>TP conc at outlet -  max (mg/l)</t>
  </si>
  <si>
    <t>Drainage</t>
  </si>
  <si>
    <t>Clay</t>
  </si>
  <si>
    <t>yes, once to remove accumlated sediment on the inlet well.</t>
  </si>
  <si>
    <t>Dfb</t>
  </si>
  <si>
    <t>Seok-moon Cell 1</t>
  </si>
  <si>
    <t>Seok-moon Cell 2</t>
  </si>
  <si>
    <t>Seok-moon Cell 3</t>
  </si>
  <si>
    <t>Seok-moon Cell 4</t>
  </si>
  <si>
    <t>2013-2014</t>
  </si>
  <si>
    <t>2015-2016</t>
  </si>
  <si>
    <t>1997-2002</t>
  </si>
  <si>
    <t>1992-2002</t>
  </si>
  <si>
    <t>1.5-3</t>
  </si>
  <si>
    <t>Mean</t>
  </si>
  <si>
    <t>ENRP</t>
  </si>
  <si>
    <t>ENRP Buffer</t>
  </si>
  <si>
    <t>ENRP Cell 1</t>
  </si>
  <si>
    <t>ENRP Cell 2</t>
  </si>
  <si>
    <t>ENRP Cell 3</t>
  </si>
  <si>
    <t>ENRP Cell 4</t>
  </si>
  <si>
    <t>1995-1999</t>
  </si>
  <si>
    <t>Floating</t>
  </si>
  <si>
    <t>48.7-60.9</t>
  </si>
  <si>
    <t>44.3-65.3</t>
  </si>
  <si>
    <t>46.8-92</t>
  </si>
  <si>
    <t>41.6-96.5</t>
  </si>
  <si>
    <t>93.3-99.9</t>
  </si>
  <si>
    <t>28.3-45.3</t>
  </si>
  <si>
    <t>34.8-46.4</t>
  </si>
  <si>
    <t>7.8-46.7</t>
  </si>
  <si>
    <t>10.1-57.8</t>
  </si>
  <si>
    <t>0.1-10.3</t>
  </si>
  <si>
    <t>Agriculture/Urban</t>
  </si>
  <si>
    <t>Flow correction boards are installed</t>
  </si>
  <si>
    <t>2006-2007</t>
  </si>
  <si>
    <t>paddy field</t>
  </si>
  <si>
    <t>Hardpan</t>
  </si>
  <si>
    <t>Wetland water infiltrated to groundwaters year round</t>
  </si>
  <si>
    <t>Water budget based on inflow/outflow volumes and changes in wetland storage capacity</t>
  </si>
  <si>
    <t>Wetland water leaching negligible due to high groundwater level</t>
  </si>
  <si>
    <t>Dfc</t>
  </si>
  <si>
    <t>1998-2001</t>
  </si>
  <si>
    <t>84-96</t>
  </si>
  <si>
    <t>-200 to -500</t>
  </si>
  <si>
    <t>Sediment redox potential (mV)</t>
  </si>
  <si>
    <t>Silty clay loam</t>
  </si>
  <si>
    <t>Cfa</t>
  </si>
  <si>
    <t>Vegetated pool</t>
  </si>
  <si>
    <t>Polyethylene and 200 mm soil layer</t>
  </si>
  <si>
    <t>Soil:sand 6:1</t>
  </si>
  <si>
    <t>1995-2001</t>
  </si>
  <si>
    <t>1999-2001</t>
  </si>
  <si>
    <t>1994-2001</t>
  </si>
  <si>
    <t>168-192</t>
  </si>
  <si>
    <t>144-168</t>
  </si>
  <si>
    <t>yes, biannual harvesting</t>
  </si>
  <si>
    <t>0-12</t>
  </si>
  <si>
    <t>24-36</t>
  </si>
  <si>
    <t>Olentangy Wetland 1</t>
  </si>
  <si>
    <t>Olentangy Wetland 2</t>
  </si>
  <si>
    <t>Agriculture/natural field</t>
  </si>
  <si>
    <t>Ross silt loam</t>
  </si>
  <si>
    <t>1994-1995</t>
  </si>
  <si>
    <t>Groundwater interactions were assumed to be minor</t>
  </si>
  <si>
    <t>Unvegetated pool</t>
  </si>
  <si>
    <t>144</t>
  </si>
  <si>
    <t>2001-2002</t>
  </si>
  <si>
    <t>yes, macrophytes are harvested every 2 years</t>
  </si>
  <si>
    <t>yes, sediments are dredged every 4 years</t>
  </si>
  <si>
    <t>Sand dam slows down flow</t>
  </si>
  <si>
    <t>12-24</t>
  </si>
  <si>
    <t>Bidaily</t>
  </si>
  <si>
    <t>Weekly/biweekly</t>
  </si>
  <si>
    <t>Every 2-5 days</t>
  </si>
  <si>
    <t>Weekly</t>
  </si>
  <si>
    <t>22-1200</t>
  </si>
  <si>
    <t>32.9-182.5</t>
  </si>
  <si>
    <t>0.01-1.3</t>
  </si>
  <si>
    <t>Floating/Phytoplankton</t>
  </si>
  <si>
    <t>0.01-0.75</t>
  </si>
  <si>
    <t xml:space="preserve">Greenway, M. (includes Greenway, M., Woolley, A., Ref ID No: 330) </t>
  </si>
  <si>
    <t>Floating/Submerged</t>
  </si>
  <si>
    <t>Emergent, floating and submerged macrophytes were harvested after sampling in February 1997</t>
  </si>
  <si>
    <t>Is WQ in the river upstream and downstream of the wetland discharge point sampled?</t>
  </si>
  <si>
    <t>Cells graded for berms and divider levees</t>
  </si>
  <si>
    <t>WwtW</t>
  </si>
  <si>
    <t>Changsha County IETS</t>
  </si>
  <si>
    <t>Clay loam</t>
  </si>
  <si>
    <t>Intermittent</t>
  </si>
  <si>
    <t>One third of the emergent plants harvested each month</t>
  </si>
  <si>
    <t>Biweekly</t>
  </si>
  <si>
    <t>Cwb</t>
  </si>
  <si>
    <t>Emergent/Floating</t>
  </si>
  <si>
    <t>40-90</t>
  </si>
  <si>
    <t>2015-2018</t>
  </si>
  <si>
    <t>Flow meter</t>
  </si>
  <si>
    <t>&lt;0.15</t>
  </si>
  <si>
    <t>Erhai Lake SMWC</t>
  </si>
  <si>
    <t>2002-2004</t>
  </si>
  <si>
    <t>Mangshe River IMCW-P</t>
  </si>
  <si>
    <t>2013-2018</t>
  </si>
  <si>
    <t>Sedimentation tank, emergent wetland, submergent wetland and storage pond</t>
  </si>
  <si>
    <t>Based on pump time</t>
  </si>
  <si>
    <t>Qingshui ISFCW</t>
  </si>
  <si>
    <t>2018-2019</t>
  </si>
  <si>
    <t>Vegetated sedimentation pond, biogeochemical barrier and vegetated wetland unit</t>
  </si>
  <si>
    <t xml:space="preserve">China/Yunnan </t>
  </si>
  <si>
    <t xml:space="preserve">China/Jiangsu </t>
  </si>
  <si>
    <t>China/Hebei</t>
  </si>
  <si>
    <t>2004-2005</t>
  </si>
  <si>
    <t>Zaohe River FWS</t>
  </si>
  <si>
    <t>China/Shaanxi</t>
  </si>
  <si>
    <t>Sand</t>
  </si>
  <si>
    <t>Polyethylene</t>
  </si>
  <si>
    <t>Continuous</t>
  </si>
  <si>
    <t>2010-2012</t>
  </si>
  <si>
    <t xml:space="preserve">Mendes, L.R.D., Tonderski, K., Iversen, B.V., Kjaergaard, C. (includes Mendes L.R.D.; Tonderski K.; Kjaergaard C., Ref ID No: 157) </t>
  </si>
  <si>
    <t>&gt;671</t>
  </si>
  <si>
    <t>0.76-0.79</t>
  </si>
  <si>
    <t>290-2040</t>
  </si>
  <si>
    <t>440-3550</t>
  </si>
  <si>
    <t>340-3330</t>
  </si>
  <si>
    <t>Precipitation</t>
  </si>
  <si>
    <t>STA-1 North Test Cells Cattail</t>
  </si>
  <si>
    <t>STA-1 South Test Cells Cattail</t>
  </si>
  <si>
    <t>STA-1 North Test Cells SAV</t>
  </si>
  <si>
    <t>STA-1 South Test Cells SAV</t>
  </si>
  <si>
    <t>STA-1 South Test Cells PTSA</t>
  </si>
  <si>
    <t>Fixed</t>
  </si>
  <si>
    <t>Periphyton</t>
  </si>
  <si>
    <t>Calibrated caps</t>
  </si>
  <si>
    <t>STA-1W east</t>
  </si>
  <si>
    <t>STA-1W north</t>
  </si>
  <si>
    <t>STA-2 Cell 1</t>
  </si>
  <si>
    <t>STA-2 Cell 2</t>
  </si>
  <si>
    <t>STA-2 Cell 3</t>
  </si>
  <si>
    <t>STA-5 Cell 1</t>
  </si>
  <si>
    <t>STA-5 Cell 2</t>
  </si>
  <si>
    <t>STA-6 Cell 3</t>
  </si>
  <si>
    <t>STA-6 Cell 5</t>
  </si>
  <si>
    <t>1997-1999</t>
  </si>
  <si>
    <t>lined</t>
  </si>
  <si>
    <t>Historic wetland</t>
  </si>
  <si>
    <t>1999-2004</t>
  </si>
  <si>
    <t>1997-2004</t>
  </si>
  <si>
    <t>2002-2005</t>
  </si>
  <si>
    <t>2001-2005</t>
  </si>
  <si>
    <t>1978-1986</t>
  </si>
  <si>
    <t>2007-2014</t>
  </si>
  <si>
    <t>2010-2014</t>
  </si>
  <si>
    <t>1999-2000</t>
  </si>
  <si>
    <t>1998-2000</t>
  </si>
  <si>
    <t>Bidaily-Monthly</t>
  </si>
  <si>
    <t>Vegetation harvested every year in November</t>
  </si>
  <si>
    <t>Variable</t>
  </si>
  <si>
    <t>Floodplain</t>
  </si>
  <si>
    <t>Vegetated deep and shallow pools</t>
  </si>
  <si>
    <t>2007-2008</t>
  </si>
  <si>
    <t>2008-2009</t>
  </si>
  <si>
    <t>2009-2010</t>
  </si>
  <si>
    <t>2011-2012</t>
  </si>
  <si>
    <t>2012-2013</t>
  </si>
  <si>
    <t>2016-2017</t>
  </si>
  <si>
    <t>2017-2018</t>
  </si>
  <si>
    <t>2019-2020</t>
  </si>
  <si>
    <t>Calibrated culvert and pump rating curves</t>
  </si>
  <si>
    <t>&lt;300</t>
  </si>
  <si>
    <t>ENRP high frequency sampling</t>
  </si>
  <si>
    <t>ENRP mid frequency sampling</t>
  </si>
  <si>
    <t>ENRP low frequency sampling</t>
  </si>
  <si>
    <t>3 times a month</t>
  </si>
  <si>
    <t>1983-1984</t>
  </si>
  <si>
    <t>Lake Coral Pond 1</t>
  </si>
  <si>
    <t>Lake Coral Pond 2</t>
  </si>
  <si>
    <t>Sand/sandy clay</t>
  </si>
  <si>
    <t>Water seepage occurs throughout the year</t>
  </si>
  <si>
    <t>1998-1999</t>
  </si>
  <si>
    <t>Cfb</t>
  </si>
  <si>
    <t>HDPE</t>
  </si>
  <si>
    <t>3.9-5.2</t>
  </si>
  <si>
    <t xml:space="preserve">Nairn Robert, W (includes Nairn, R.W., Mitsch, W.J., Ref ID No: 309) </t>
  </si>
  <si>
    <t>2008-2012</t>
  </si>
  <si>
    <t>Once per minute</t>
  </si>
  <si>
    <t>Castle Leslie Estate ICW</t>
  </si>
  <si>
    <t>Dzakpasu, M., Scholz, M., Mccarthy, V., Jordan, S. (includes Dzakpasu, M., Scholz, M., McCarthy, V., Jordan, S.N., Ref ID No: 103)</t>
  </si>
  <si>
    <t>600-3100</t>
  </si>
  <si>
    <r>
      <t>Emergents were harvested (0.09 m</t>
    </r>
    <r>
      <rPr>
        <vertAlign val="superscript"/>
        <sz val="11"/>
        <color theme="1"/>
        <rFont val="Calibri"/>
        <family val="2"/>
        <scheme val="minor"/>
      </rPr>
      <t>2</t>
    </r>
    <r>
      <rPr>
        <sz val="11"/>
        <color theme="1"/>
        <rFont val="Calibri"/>
        <family val="2"/>
        <scheme val="minor"/>
      </rPr>
      <t xml:space="preserve"> quadrats, 5 replicates per cell) in July 2011 to calculate biomass-P</t>
    </r>
  </si>
  <si>
    <t>Krzeminska, D., Blankenberg, A.-G.B., Bechmann, M., Deelstra, J. (includes Krzeminska, D., Blankenberg, A.-G.B., Bechmann, M., Deelstra, J. Ref ID No: 240)</t>
  </si>
  <si>
    <t>Weir</t>
  </si>
  <si>
    <t>2003-2021</t>
  </si>
  <si>
    <r>
      <t>Vegetation harvested  (0.25 m</t>
    </r>
    <r>
      <rPr>
        <vertAlign val="superscript"/>
        <sz val="11"/>
        <color theme="1"/>
        <rFont val="Calibri"/>
        <family val="2"/>
        <scheme val="minor"/>
      </rPr>
      <t>2</t>
    </r>
    <r>
      <rPr>
        <sz val="11"/>
        <color theme="1"/>
        <rFont val="Calibri"/>
        <family val="2"/>
        <scheme val="minor"/>
      </rPr>
      <t xml:space="preserve"> quadrats, 4 replicates) in September 2001 to calculate biomass-P</t>
    </r>
  </si>
  <si>
    <t>4.5-5</t>
  </si>
  <si>
    <t>Sediment was removed in February 2005, 2011 and 2020</t>
  </si>
  <si>
    <t>Vegetation was removed in February 2011 and 2020 due to sediment dredging</t>
  </si>
  <si>
    <t>Stream</t>
  </si>
  <si>
    <t>Skuterud CW</t>
  </si>
  <si>
    <t>STA-1 North Test Cell 1</t>
  </si>
  <si>
    <t>STA-1 South Test Cell 4</t>
  </si>
  <si>
    <t>STA-1 South Test Cell 9</t>
  </si>
  <si>
    <t>STA-1 North Test Cell 15</t>
  </si>
  <si>
    <t>2000-2001</t>
  </si>
  <si>
    <t>Peat/sand</t>
  </si>
  <si>
    <t>Brighton CW</t>
  </si>
  <si>
    <t>Changsha Research Station CW Low Strength</t>
  </si>
  <si>
    <t>Changsha Research Station CW Medium Strength</t>
  </si>
  <si>
    <t>Changsha Research Station CW High Strength</t>
  </si>
  <si>
    <t>Hovi CW</t>
  </si>
  <si>
    <t>Alastaro CW</t>
  </si>
  <si>
    <t>Flyttrask CW</t>
  </si>
  <si>
    <t>Rantamo-Seitteli CW</t>
  </si>
  <si>
    <t>Boney Marsh CW</t>
  </si>
  <si>
    <t>Freedom Park CW</t>
  </si>
  <si>
    <t>Texel CW</t>
  </si>
  <si>
    <t>Berg CW</t>
  </si>
  <si>
    <t>Alhagen CW</t>
  </si>
  <si>
    <t>Ekeby CW</t>
  </si>
  <si>
    <t>Oxelösund CW</t>
  </si>
  <si>
    <t>Magle CW</t>
  </si>
  <si>
    <t>Ajdovscina CW</t>
  </si>
  <si>
    <t>Koibuchi College CW</t>
  </si>
  <si>
    <r>
      <t>R</t>
    </r>
    <r>
      <rPr>
        <sz val="11"/>
        <color theme="1"/>
        <rFont val="Aptos Narrow"/>
        <family val="2"/>
      </rPr>
      <t>å</t>
    </r>
    <r>
      <rPr>
        <sz val="11"/>
        <color theme="1"/>
        <rFont val="Calibri"/>
        <family val="2"/>
        <scheme val="minor"/>
      </rPr>
      <t>bytorp CW</t>
    </r>
  </si>
  <si>
    <t>Slogstorp CW</t>
  </si>
  <si>
    <t>Genarp CW</t>
  </si>
  <si>
    <t>Cedar Grove CW</t>
  </si>
  <si>
    <t>Canale Emiliano Romagnolo CW</t>
  </si>
  <si>
    <t>Vända CW</t>
  </si>
  <si>
    <t>Trout Farm CW</t>
  </si>
  <si>
    <t>Chan River CW</t>
  </si>
  <si>
    <t>Tancat de Milia CW</t>
  </si>
  <si>
    <t>Atleverket CW</t>
  </si>
  <si>
    <t>L.B. CW</t>
  </si>
  <si>
    <t>Slo CW</t>
  </si>
  <si>
    <t>Råb CW</t>
  </si>
  <si>
    <t>Böl CW</t>
  </si>
  <si>
    <t>Gen CW</t>
  </si>
  <si>
    <t>Ede CW</t>
  </si>
  <si>
    <t>Ste CW</t>
  </si>
  <si>
    <t>Hemet CW</t>
  </si>
  <si>
    <t>Columbia CW</t>
  </si>
  <si>
    <t>Lammi CW</t>
  </si>
  <si>
    <t>Toenepi CW</t>
  </si>
  <si>
    <t>Titoki CW</t>
  </si>
  <si>
    <t>Sonnhof CW</t>
  </si>
  <si>
    <t>Edenton CW</t>
  </si>
  <si>
    <t>Middle Coastal Plain CW</t>
  </si>
  <si>
    <t>Chan River Cell 1</t>
  </si>
  <si>
    <t>Chan River Cell 2</t>
  </si>
  <si>
    <t>Chan River Cell 3</t>
  </si>
  <si>
    <t>Chan River Cell 4</t>
  </si>
  <si>
    <t>Chan River Cell 5</t>
  </si>
  <si>
    <t>Overall wetland data. Only color coded when paired with breakdown of wetland data.</t>
  </si>
  <si>
    <t>Sand mining/landfill</t>
  </si>
  <si>
    <t>Compacted soil</t>
  </si>
  <si>
    <t>Loam</t>
  </si>
  <si>
    <t>Culvert/water level gauge</t>
  </si>
  <si>
    <t>Most rainfall occurred between July and October</t>
  </si>
  <si>
    <t>Tancat de la Pipa FGCW</t>
  </si>
  <si>
    <t>BSk</t>
  </si>
  <si>
    <r>
      <t>Albufera de Val</t>
    </r>
    <r>
      <rPr>
        <sz val="11"/>
        <color theme="1"/>
        <rFont val="Aptos Narrow"/>
        <family val="2"/>
      </rPr>
      <t>è</t>
    </r>
    <r>
      <rPr>
        <sz val="11"/>
        <color theme="1"/>
        <rFont val="Calibri"/>
        <family val="2"/>
        <scheme val="minor"/>
      </rPr>
      <t>ncia Lake</t>
    </r>
  </si>
  <si>
    <t>V-notch weir</t>
  </si>
  <si>
    <t>2009-2012</t>
  </si>
  <si>
    <t>Biweekly/monthly</t>
  </si>
  <si>
    <t>7-58</t>
  </si>
  <si>
    <t>6.91-8.2</t>
  </si>
  <si>
    <t>Intense rainfall events normally occurred in winter and autumn</t>
  </si>
  <si>
    <t>2009-2011</t>
  </si>
  <si>
    <t>Tancat de la Pipa FpCW</t>
  </si>
  <si>
    <t>Tancat de la Pipa F4CW</t>
  </si>
  <si>
    <t>Tancat de L'Illa CW1</t>
  </si>
  <si>
    <t>Tancat de L'Illa CW2</t>
  </si>
  <si>
    <t>Rice field</t>
  </si>
  <si>
    <t>10.4-25.2</t>
  </si>
  <si>
    <t>V-notch weir/flow meter</t>
  </si>
  <si>
    <t>Silty clay/silty clay loam</t>
  </si>
  <si>
    <t>315360-4099680</t>
  </si>
  <si>
    <t>7-47</t>
  </si>
  <si>
    <t>Vegetation was harvested during October and November 2009 as part of maintenance. Samples were collected 6 times throughout the study period to calculate biomass-P</t>
  </si>
  <si>
    <t>Samples were collected 6 times throughout the study period to calculate biomass-P</t>
  </si>
  <si>
    <t>Vegetation was harvested during September 2010 as part of maintenance. Samples were collected 6 times throughout the study period to calculate biomass-P</t>
  </si>
  <si>
    <t>Outflow gate closed in October 2010 due to declining water quality and flow diverted to FG3</t>
  </si>
  <si>
    <t>Tancat de la Pipa FG1</t>
  </si>
  <si>
    <t>Tancat de la Pipa FG2</t>
  </si>
  <si>
    <t>Tancat de la Pipa FG3</t>
  </si>
  <si>
    <t>Tancat de la Pipa Fp 1</t>
  </si>
  <si>
    <t>Tancat de la Pipa Fp 2</t>
  </si>
  <si>
    <t>Tancat de la Pipa Fp 3</t>
  </si>
  <si>
    <t xml:space="preserve">Intense rainfall during spring and autumn </t>
  </si>
  <si>
    <t>Every  3 weeks</t>
  </si>
  <si>
    <t>Every 3 weeks</t>
  </si>
  <si>
    <t>Evapotranspiration was 1 mm per day in winter and 6 mm per day in summer</t>
  </si>
  <si>
    <t>Grautholen CW G1</t>
  </si>
  <si>
    <t>Grautholen CW G2</t>
  </si>
  <si>
    <t>1992-1999</t>
  </si>
  <si>
    <t>1996-1999</t>
  </si>
  <si>
    <t>50-100</t>
  </si>
  <si>
    <t>20-42</t>
  </si>
  <si>
    <t>Sedimentation pool, wetland filter, overflow zone and outlet pool</t>
  </si>
  <si>
    <t>Every 9-12 days</t>
  </si>
  <si>
    <t>1991-1999</t>
  </si>
  <si>
    <t>1993-1999</t>
  </si>
  <si>
    <t>Kizilca creek FWSCW</t>
  </si>
  <si>
    <r>
      <t>T</t>
    </r>
    <r>
      <rPr>
        <sz val="11"/>
        <color theme="1"/>
        <rFont val="Aptos Narrow"/>
        <family val="2"/>
      </rPr>
      <t>ü</t>
    </r>
    <r>
      <rPr>
        <sz val="11"/>
        <color theme="1"/>
        <rFont val="Calibri"/>
        <family val="2"/>
      </rPr>
      <t>rkiye</t>
    </r>
  </si>
  <si>
    <t>Kizilca creek</t>
  </si>
  <si>
    <t>1980-1984</t>
  </si>
  <si>
    <t>Listowel Marsh 1</t>
  </si>
  <si>
    <t>Listowel Marsh 2</t>
  </si>
  <si>
    <t>Listowel Marsh 3</t>
  </si>
  <si>
    <t>Listowel Marsh 4</t>
  </si>
  <si>
    <t>Listowel Marsh 5</t>
  </si>
  <si>
    <t>1980-1985</t>
  </si>
  <si>
    <t>1980-1986</t>
  </si>
  <si>
    <t>1980-1987</t>
  </si>
  <si>
    <t>1980-1988</t>
  </si>
  <si>
    <t>Shallow marsh, pond and channelised marsh</t>
  </si>
  <si>
    <t>Channelised marsh</t>
  </si>
  <si>
    <t>Shallow marsh</t>
  </si>
  <si>
    <t>Dry summers required lowering of water depth to increase flow rate through marshes</t>
  </si>
  <si>
    <t xml:space="preserve">Colour </t>
  </si>
  <si>
    <t>Definition</t>
  </si>
  <si>
    <t>-319 to 166</t>
  </si>
  <si>
    <t>-284 to 83</t>
  </si>
  <si>
    <t>yes, harvesting occurred once</t>
  </si>
  <si>
    <t xml:space="preserve">STA-3/4 PTSA </t>
  </si>
  <si>
    <t>2005-2006</t>
  </si>
  <si>
    <t>Most rainfall occurs during springand autumn</t>
  </si>
  <si>
    <t>Shallow channelised wetland</t>
  </si>
  <si>
    <t xml:space="preserve">Vegetation sampled once </t>
  </si>
  <si>
    <t>Channels meander through the wetland and direct flow</t>
  </si>
  <si>
    <t>Sediment cores collected once in the Autumn</t>
  </si>
  <si>
    <t>2020-2022</t>
  </si>
  <si>
    <t>Compacted clay</t>
  </si>
  <si>
    <t>Gravel/sand</t>
  </si>
  <si>
    <t>3 parallel trains containing 2 or 3 shallow vegetated pools.</t>
  </si>
  <si>
    <t>Summer months had significantly less rainfall than other months</t>
  </si>
  <si>
    <t>Harvesting is not practiced, but vegetation was collected for analysis in March 2021 and again 12 weeks later. There is about 94.59 kg above ground biomass in the wetland.</t>
  </si>
  <si>
    <t xml:space="preserve">yes, harvesting occurred twice within the marsh channels. Removal due to harvesting was 9.6% of annual TP input </t>
  </si>
  <si>
    <t xml:space="preserve">yes, harvesting occurred 9 times. Removal due to harvesting ranged from 1.2 to 5.1% of annual TP input </t>
  </si>
  <si>
    <t>STA-3/4 FW1 Cell 1A</t>
  </si>
  <si>
    <t>STA-3/4 FW1 Cell 1B</t>
  </si>
  <si>
    <t>STA-3/4 FW2 Cell 2A</t>
  </si>
  <si>
    <t>STA-3/4 FW2 Cell 2B</t>
  </si>
  <si>
    <t>STA-3/4 FW3 Cell 3A</t>
  </si>
  <si>
    <t>STA-3/4 FW3 Cell 3B</t>
  </si>
  <si>
    <t>2002-2017</t>
  </si>
  <si>
    <t>2003-2012</t>
  </si>
  <si>
    <t>2006-2017</t>
  </si>
  <si>
    <t>2009-2017</t>
  </si>
  <si>
    <t xml:space="preserve">No  </t>
  </si>
  <si>
    <t>Storms and other rainfall events during the wet season result in substantially higher compared to the dry season</t>
  </si>
  <si>
    <t>TP outflow loading rates were calculated as the difference between TP inflow and retention loading rates</t>
  </si>
  <si>
    <t>1999-2003</t>
  </si>
  <si>
    <t>On average 34% of rainfall occurs in the dry season, and 66% during the wet season.</t>
  </si>
  <si>
    <t>Submerged vegetation treatment cell</t>
  </si>
  <si>
    <t>Emergent vegetation pool</t>
  </si>
  <si>
    <t>Emergent and submerged vegetation pool</t>
  </si>
  <si>
    <t>Submerged vegetation pool</t>
  </si>
  <si>
    <t>Sedimentation pool and shallow emergent vegetation cell</t>
  </si>
  <si>
    <t>Shallow emergent vegetation cells</t>
  </si>
  <si>
    <t>Emergent vegetation treatment cell</t>
  </si>
  <si>
    <t>Emergent and submerged vegetation treatment cell</t>
  </si>
  <si>
    <t>Emergent, submerged and floating vegetation treatment cell</t>
  </si>
  <si>
    <t>Deep zones and emergent vegetation terraces</t>
  </si>
  <si>
    <t>Surface and vertical flow biofilters, surface flow wetland and stabilisation ponds</t>
  </si>
  <si>
    <t>Shallow emergent vegetation pools</t>
  </si>
  <si>
    <t>Emergent and submerged vegetation treatment cells</t>
  </si>
  <si>
    <t>Deep and shallow emergent vegetated pools</t>
  </si>
  <si>
    <t>Shallow emergent vegetation marsh</t>
  </si>
  <si>
    <t>Periphyton vegetation treatment cell</t>
  </si>
  <si>
    <t>Shallow periphyton vegetation treatment cell</t>
  </si>
  <si>
    <t>Emergent and submergent treatment cells</t>
  </si>
  <si>
    <t>Deep sedimentation pond and shallow emergent vegetation pools</t>
  </si>
  <si>
    <t>Sedimentation ponds and vegetation wetland cells</t>
  </si>
  <si>
    <t>Shallow emergent vegetation cell</t>
  </si>
  <si>
    <t>Shallow floating vegetation cell</t>
  </si>
  <si>
    <t>Shallow emergent and floating vegetation cell</t>
  </si>
  <si>
    <t>Shallow emergent and submerged vegetation cell</t>
  </si>
  <si>
    <t>116000000-730000000</t>
  </si>
  <si>
    <t>0.63-4.16</t>
  </si>
  <si>
    <t>112000000-735000000</t>
  </si>
  <si>
    <t>0.48-2.72</t>
  </si>
  <si>
    <t>Water control structures</t>
  </si>
  <si>
    <t>Calculated areal TP inflow and outflow using the respective annual input or output data divided by wetland area. TP retention rate was calculated as the difference between areal input and output load. TP load retention efficiency was (Retention / Input ) * 100</t>
  </si>
  <si>
    <t>Lake Apopka</t>
  </si>
  <si>
    <t>Hitosol</t>
  </si>
  <si>
    <t>Shallow marsh with deep pools</t>
  </si>
  <si>
    <t>Average depth of cells (m)</t>
  </si>
  <si>
    <t>An alum based chemical was applied to soils before wetland was operational</t>
  </si>
  <si>
    <t>Alum in lagoon before the wetland</t>
  </si>
  <si>
    <t>Yes, alum was used</t>
  </si>
  <si>
    <t>Chemical dosing using alum, plugging short-circuits, and contruction of dikes</t>
  </si>
  <si>
    <t>72-120</t>
  </si>
  <si>
    <t>0.04-0.17</t>
  </si>
  <si>
    <t>Lake Bloomington Wetland 1</t>
  </si>
  <si>
    <t>Lake Bloomington Wetland 2</t>
  </si>
  <si>
    <t>Silt loam</t>
  </si>
  <si>
    <t>Deep zones and shallow areas</t>
  </si>
  <si>
    <t>Every 2/15 minutes</t>
  </si>
  <si>
    <t>Flow proportional</t>
  </si>
  <si>
    <t>63-67% of all precipitation occurred during winter and spring.</t>
  </si>
  <si>
    <t>Des Plaines River</t>
  </si>
  <si>
    <t>point and composite</t>
  </si>
  <si>
    <t>Emergent and floating vegetation pool</t>
  </si>
  <si>
    <t>Emergent and submerged vegetation cells</t>
  </si>
  <si>
    <t>V-notch weir/flow sensor</t>
  </si>
  <si>
    <t>V-notch weir/flow meters</t>
  </si>
  <si>
    <t>2016-2018</t>
  </si>
  <si>
    <t>Urban/Gordon River</t>
  </si>
  <si>
    <t>Sedimentation pond, deep water and shallow vegetated cells</t>
  </si>
  <si>
    <t>Continuous/Weekly</t>
  </si>
  <si>
    <t>Weir/flow meter</t>
  </si>
  <si>
    <t>TP load retention (g/m2/yr)</t>
  </si>
  <si>
    <t>Olentangy Wetlands</t>
  </si>
  <si>
    <t>1994-2013</t>
  </si>
  <si>
    <t>Deep and shallow emergent vegetation pool</t>
  </si>
  <si>
    <t>1994-2012</t>
  </si>
  <si>
    <t>1994-2010</t>
  </si>
  <si>
    <t>Samples were harvested every year during August from 1997 to 2010.</t>
  </si>
  <si>
    <t>Olentangy River</t>
  </si>
  <si>
    <t>TP and SRP outflow loading rate was calculated as the difference between their respective inflow and retention loading rates</t>
  </si>
  <si>
    <t>TP outflow loading rate was calculated as the difference between inflow and retention loading rates</t>
  </si>
  <si>
    <t>Groundwater</t>
  </si>
  <si>
    <t>-151 to 3</t>
  </si>
  <si>
    <t>Deep and shallow emergent vegetation areas</t>
  </si>
  <si>
    <t>Evapotranspiration was greatest in the summer months, while rainfall was also generally highest during the summer.</t>
  </si>
  <si>
    <t>Samples were harvested, however data provided was not in terms of TP/TN</t>
  </si>
  <si>
    <t xml:space="preserve">Fink, D.F (includes Fink, D.F., Mitsch, W.J. Ref ID No: 66) </t>
  </si>
  <si>
    <t xml:space="preserve">Fink, D.F </t>
  </si>
  <si>
    <t>Emergent marsh and open water basin</t>
  </si>
  <si>
    <t>Olentangy Created Oxbow Wetland</t>
  </si>
  <si>
    <t>2002-2003</t>
  </si>
  <si>
    <t>2003-2004</t>
  </si>
  <si>
    <t>6-12</t>
  </si>
  <si>
    <t>18-24</t>
  </si>
  <si>
    <t>30-36</t>
  </si>
  <si>
    <t>42-48</t>
  </si>
  <si>
    <t>54-60</t>
  </si>
  <si>
    <t>Every 15 minutes</t>
  </si>
  <si>
    <t>Every 10 minutes</t>
  </si>
  <si>
    <t>9.2-18.6</t>
  </si>
  <si>
    <t>11.7-20.3</t>
  </si>
  <si>
    <t>0.3-0.8</t>
  </si>
  <si>
    <t>Shallow vegetated cells</t>
  </si>
  <si>
    <t>Shallow vegetated cells with deeper areas</t>
  </si>
  <si>
    <t>Submerged/Floating</t>
  </si>
  <si>
    <t>&gt;90</t>
  </si>
  <si>
    <t>60-80</t>
  </si>
  <si>
    <t>15-50</t>
  </si>
  <si>
    <t>Dairy farm</t>
  </si>
  <si>
    <t>3-5 month period without drainage early to mid summer and mid autumn (December-April)</t>
  </si>
  <si>
    <t>Baffles are used throughout the wetland</t>
  </si>
  <si>
    <t>TP load retention was calculated as the difference between inflow and outflow loading rates.</t>
  </si>
  <si>
    <t>TP outflow loading rate was calculated as the difference between inflow and retention loading rates. TP load retention efficiency was calculated using (Retention / Inflow ) * 100</t>
  </si>
  <si>
    <t>Calculated TP retention (kg/year) from difference between input and output load, then calculated TP load retention efficiency using (Retention / Inflow ) * 100</t>
  </si>
  <si>
    <t>Dwa</t>
  </si>
  <si>
    <t>48-360</t>
  </si>
  <si>
    <t>0.3-0.5</t>
  </si>
  <si>
    <t>Emergent vegetation cell</t>
  </si>
  <si>
    <t>5-100</t>
  </si>
  <si>
    <t>Level logger and rating curve</t>
  </si>
  <si>
    <t>Dangjin stream</t>
  </si>
  <si>
    <t>1994-2008</t>
  </si>
  <si>
    <t>Daily/Biweekly/Monthly</t>
  </si>
  <si>
    <t>370000/520000</t>
  </si>
  <si>
    <t>18/23</t>
  </si>
  <si>
    <t>Recreational</t>
  </si>
  <si>
    <t>Biweekly/Monthly</t>
  </si>
  <si>
    <t>Biweekly/Weekly</t>
  </si>
  <si>
    <t>Daily-Monthly</t>
  </si>
  <si>
    <t>Weeky/Biweekly</t>
  </si>
  <si>
    <t>Weekly/Biweekly</t>
  </si>
  <si>
    <t xml:space="preserve">Lake Apopka MFW </t>
  </si>
  <si>
    <t xml:space="preserve">Des Plaines River Wetland 3 </t>
  </si>
  <si>
    <t xml:space="preserve">Des Plaines River Wetland 4 </t>
  </si>
  <si>
    <t>Des Plaines River Wetland 4 high frequency</t>
  </si>
  <si>
    <t xml:space="preserve">Des Plaines River Wetland 5 </t>
  </si>
  <si>
    <t>Des Plaines River Wetland 5 high frequency</t>
  </si>
  <si>
    <t xml:space="preserve">Des Plaines River Wetland 6 </t>
  </si>
  <si>
    <t>Deep pool and shallow vegetated areas</t>
  </si>
  <si>
    <t>2012-2014</t>
  </si>
  <si>
    <t>Autumn 2012 was a wet period, however Autumn 2013 had low runoff. Winter 2013 was wetter than Winter 2012.</t>
  </si>
  <si>
    <t>1996-1998</t>
  </si>
  <si>
    <t>1999-2002</t>
  </si>
  <si>
    <t>Wildfowl habitat</t>
  </si>
  <si>
    <t>Shallow marshes and deep pond</t>
  </si>
  <si>
    <t>Hemi marsh with shallow and deep areas</t>
  </si>
  <si>
    <t>Totalizer/Proppeller meter</t>
  </si>
  <si>
    <t>64-77</t>
  </si>
  <si>
    <t>34-41</t>
  </si>
  <si>
    <t>Longitudinal berm to control short-circuiting</t>
  </si>
  <si>
    <t>&gt;36</t>
  </si>
  <si>
    <t>Arable</t>
  </si>
  <si>
    <t>Baffles used to avoid short-circuiting</t>
  </si>
  <si>
    <t>Deep and shallow pools</t>
  </si>
  <si>
    <t>Flow sensor</t>
  </si>
  <si>
    <t>No outflow between May and October 2008 due to high evapotranspiration</t>
  </si>
  <si>
    <t>Wetland to catchment area ratio was calculated as wetland area / catchment area *100</t>
  </si>
  <si>
    <t>Clayey</t>
  </si>
  <si>
    <t xml:space="preserve">River </t>
  </si>
  <si>
    <t>Flow Sensor</t>
  </si>
  <si>
    <t>Watershed Simulating and Forecasting System</t>
  </si>
  <si>
    <t>Long periods of no flow through the wetland during growing seasons ranging from 60 to 154 days per year</t>
  </si>
  <si>
    <t>1996-1997</t>
  </si>
  <si>
    <t>Presettlling basin, emergent and submergent vegetation ditches, and discharge ditch</t>
  </si>
  <si>
    <t>Sandy silt</t>
  </si>
  <si>
    <t>Emergent samples were harvested on December 1996 for analysis. Process measurements determined harvests of emergent vegetations represents 6% of TP removal</t>
  </si>
  <si>
    <t>Precipitation was highest during November, which also coincided with the highest inflow rates from the WwTW</t>
  </si>
  <si>
    <t>Sediment traps and shallow vegetated ponds</t>
  </si>
  <si>
    <t>Pre-treated landfill leachate</t>
  </si>
  <si>
    <t>TP load % retention efficiency</t>
  </si>
  <si>
    <t>SRP load retention (g/m2/yr)</t>
  </si>
  <si>
    <t>SRP load % retention efficiency</t>
  </si>
  <si>
    <t>500-700</t>
  </si>
  <si>
    <t>Moraine</t>
  </si>
  <si>
    <t>Median</t>
  </si>
  <si>
    <t>27507-84095</t>
  </si>
  <si>
    <t>34296-102816</t>
  </si>
  <si>
    <t>Fish farm</t>
  </si>
  <si>
    <t>Drought resulted in decreased inflow rates during the summer period.</t>
  </si>
  <si>
    <t>Channelised vegetated wetland</t>
  </si>
  <si>
    <t>TP and SRP outflow loading rates were calculated as the difference between their respective inflow and retention loading rates. TP and SRP load retention efficiencies were calculated using their respective values for (Retention / Inflow ) * 100</t>
  </si>
  <si>
    <t>Nordjylland CW</t>
  </si>
  <si>
    <t>Trout farm</t>
  </si>
  <si>
    <t>TP and SRP outflow loading rates were calculated as the difference between their respective inflow and retention loading rates. TP concentration retention efficiency, and TP and SRP load retention efficiencies were calculated using their respective values for (Retention / Inflow ) * 100</t>
  </si>
  <si>
    <t>SRP conc retention (%)</t>
  </si>
  <si>
    <t>TP conc retention (%)</t>
  </si>
  <si>
    <t>Embarras Wetland A</t>
  </si>
  <si>
    <t>Embarras Wetland B</t>
  </si>
  <si>
    <t>Embarras Wetland D</t>
  </si>
  <si>
    <t>Dfa</t>
  </si>
  <si>
    <t>1995-1996</t>
  </si>
  <si>
    <t>Pastureland</t>
  </si>
  <si>
    <t>4 times a day</t>
  </si>
  <si>
    <t>Shallow emergent vegetation areas</t>
  </si>
  <si>
    <t>TP and SRP concentration retention efficiencies were calculated using their respective values for (In - Out / In) *100</t>
  </si>
  <si>
    <t>TP concentration retention efficiency was calculated using values for (In - Out / In) *100</t>
  </si>
  <si>
    <t>TP and SRP outflow loading rates were calculated as the difference between their respective inflow and retention loading rates. SRP load retention efficiency was calculated using (Retention / Inflow) * 100</t>
  </si>
  <si>
    <t>It's possible to calculate values for a larger monitoring period than the 1 year presented here, but would likely introduce errors and uncertainty. TP concentration retention efficiency is calculated using values for (In - Out / In) *100. TP outflow load is the difference between inflow and retention loading rates</t>
  </si>
  <si>
    <t xml:space="preserve">Calculated areal TP inflow and outflow using the respective annual input or output data divided by wetland area. TP retention  was calculated as the difference between areal input and output load. </t>
  </si>
  <si>
    <t>TP load retention was calculated as the difference between inflow and outflow loads. Wetland to catchment area ratio was calculated as wetland area / catchment area *100</t>
  </si>
  <si>
    <t>Wetlands usually dried up in late summer and early autumn when tile lines stopped flowing</t>
  </si>
  <si>
    <t>4-5</t>
  </si>
  <si>
    <t>10-15</t>
  </si>
  <si>
    <t>2015-2017</t>
  </si>
  <si>
    <t>Emergent vegetated cell</t>
  </si>
  <si>
    <t>Beijing Wildlife Rescue and Rehabilitation Center FWSCW</t>
  </si>
  <si>
    <t>Sandy</t>
  </si>
  <si>
    <t>2008-2010</t>
  </si>
  <si>
    <t>Vegetated deep and shallow cells</t>
  </si>
  <si>
    <t>1997-1998</t>
  </si>
  <si>
    <t>Texel CW 0.3 day HRT ditch</t>
  </si>
  <si>
    <t>Texel CW 0.8 day HRT ditch</t>
  </si>
  <si>
    <t>Texel CW 2.3 day HRT ditch</t>
  </si>
  <si>
    <t>Texel CW 9.3 day HRT ditch</t>
  </si>
  <si>
    <t>Emergent and submergent vegetation ditch</t>
  </si>
  <si>
    <t>Samples were harvested for analysis. Process measurements determined harvests of emergent vegetations remove 0.69 and 1.09% of input TP in Phragmites and Typha ditches respectively.</t>
  </si>
  <si>
    <t>Samples were harvested for analysis. Process measurements determined harvests of emergent vegetations remove 5 and 9.5% of input TP in Phragmites and Typha ditches respectively.</t>
  </si>
  <si>
    <t>During the growing season, evapotranspiration regularly approached 10% of the daily input to the ditch.</t>
  </si>
  <si>
    <t>Improve biodiversity</t>
  </si>
  <si>
    <t>Agriculture/Sanitary wastewater</t>
  </si>
  <si>
    <t>2004-2008</t>
  </si>
  <si>
    <t>Emergent vegetaed pool containing 4 islands</t>
  </si>
  <si>
    <t>906-1056</t>
  </si>
  <si>
    <t>High flows each year during 1-2 cold months resulted in seasonal TP release</t>
  </si>
  <si>
    <t>Water stage recorder</t>
  </si>
  <si>
    <t>-966 to 2031 mg/m2/day</t>
  </si>
  <si>
    <t>-90 to 1161 mg/m2/day</t>
  </si>
  <si>
    <t>-210 to 1051 mg/m2/day</t>
  </si>
  <si>
    <t>-116 to 3483 mg/m2/day</t>
  </si>
  <si>
    <t>-41 to 328 mg/m2/day</t>
  </si>
  <si>
    <t>-47to 13 mg/m2/day</t>
  </si>
  <si>
    <t>Pietro, K.C, Ivanoff, D.</t>
  </si>
  <si>
    <t>2002-2012</t>
  </si>
  <si>
    <t>Emergent treatment cell</t>
  </si>
  <si>
    <t>72 to 696</t>
  </si>
  <si>
    <t>Peat based</t>
  </si>
  <si>
    <t>Mixed - unfarmed and arable</t>
  </si>
  <si>
    <t>proactive and reactive management</t>
  </si>
  <si>
    <t>TP outflow loading rate was calculated as the difference between TP inflow and retention loading rates</t>
  </si>
  <si>
    <t>Emergent and submerged treatment cell</t>
  </si>
  <si>
    <t>168 to 384</t>
  </si>
  <si>
    <t>144 to 360</t>
  </si>
  <si>
    <t>2006-2012</t>
  </si>
  <si>
    <t>120 to 672</t>
  </si>
  <si>
    <t>Herbicide</t>
  </si>
  <si>
    <t>72 to 1320</t>
  </si>
  <si>
    <t>288 to 432</t>
  </si>
  <si>
    <t>Biodiversity</t>
  </si>
  <si>
    <t xml:space="preserve">Luo, P., Liu, F., Liu, X., Wu, X., Yao, R., Chen, L., Li, X., Xiao, R., Wu, R.  (includes Zhou, J., Luo, P., Liu, F., Gong, D., Li, B., Xiao, R., Wu, J., Ref ID No: 295) </t>
  </si>
  <si>
    <t>392-593</t>
  </si>
  <si>
    <t>TP outflow loading rate was calculated as the difference between TP inflow and retention loading rates. TP load retention efficiency was calculated using  (Retention load/ Inflow load) * 100</t>
  </si>
  <si>
    <t>370-719</t>
  </si>
  <si>
    <t>422-884</t>
  </si>
  <si>
    <t>Vegetation biomass collected (0.25m2 quadrats, 6 replicates) for the study in June 2019.</t>
  </si>
  <si>
    <t>Seepage not included in budget calculations due to its minimal impact. 75% of rainfall to the area falls from June to August</t>
  </si>
  <si>
    <t>TP concentration retention efficiency was calculated using their respective values for (In - Out / In) *100. TP outflow loading rate was calculated as the difference between TP inflow and retention loading rates. TP load retention efficiency was calculated using  (Retention load/ Inflow load) * 100</t>
  </si>
  <si>
    <t>TP concentration retention efficiency was calculated using their respective values for (In - Out / In) *100. TP outflow loading rate was calculated as the difference between TP inflow and retention loading rates. TP load retention efficiency was calculated using  (Retention load/ Inflow load) * 100. Accessed HRT and HLR data from supplementary data.</t>
  </si>
  <si>
    <t>TP concentration retention efficiency was calculated using their respective values for (In - Out / In) *100. TP outflow loading rate was calculated as the difference between TP inflow and retention loading rates.</t>
  </si>
  <si>
    <t>TP concentration retention efficiency was calculated using their respective values for (In - Out / In) *100. TP retention rate was calculated using input loading rate x (retention efficiency/100). TP outflow loading rate was calculated as the difference between TP inflow and retention loading rates.</t>
  </si>
  <si>
    <t>TP outflow loading rates were calculated using (outflow concentration x flow at outflow)/wetland area. TP retention rates were calculated as the difference between inflow and outflow loading rates. TP retention efficiency was calculated using (retention load/inflow load)*100</t>
  </si>
  <si>
    <t>Seepage represented 3% of outflow volume</t>
  </si>
  <si>
    <t>Seepage represented 36% of inflow volume</t>
  </si>
  <si>
    <t>Seepage represented 32% of inflow volume</t>
  </si>
  <si>
    <t>Seepage represented 20% of inflow volume</t>
  </si>
  <si>
    <t>Seepage represented 22% of inflow volume</t>
  </si>
  <si>
    <t>Seepage represented 17% of inflow volume</t>
  </si>
  <si>
    <t>Seepage represented 4% of inflow volume</t>
  </si>
  <si>
    <t>Seepage represented 9% of inflow volume</t>
  </si>
  <si>
    <t>Seepage represented 12% of inflow volume</t>
  </si>
  <si>
    <t>Seepage represented 25% of outflow volume</t>
  </si>
  <si>
    <t>Seepage impact on the water balance ranged from -218.6 to 20.2 cm per month, while evapotranspiration ranged from -40.7 to -7.7 cm per month</t>
  </si>
  <si>
    <t xml:space="preserve">Data is available on request. This would provide greater insights into the 18 year dataset. </t>
  </si>
  <si>
    <t>TP and SRP outflow loading rates were calculated as the difference between their respective inflow and retention loading rates.</t>
  </si>
  <si>
    <t xml:space="preserve">TP concentration retention efficiency was calculated using their respective values for (In - Out / In) *100. </t>
  </si>
  <si>
    <t>Vegetation was harvested during October and November 2009 as part of maintenance. Throughout the CW TP accumulated in plants repretented 19.2% of TP removal.</t>
  </si>
  <si>
    <t>Vegetation was harvested during October and November 2009, and September 2010 as part of maintenance.  Throughout the CW TP accumulated in plants repretented 19.2% of TP removal.</t>
  </si>
  <si>
    <t>TP and SRP concentration retention efficiencies were calculated using their respective values for (In - Out / In) *100. TP and SRP outflow loading rates were calculated as the difference between their respective values for inflow and retention loading rates. TP and SRP load retention efficiencies were calculated using their respective values for (Retention load/ Inflow load) * 100.</t>
  </si>
  <si>
    <t>TP and SRP concentration retention efficiencies were calculated using their respective values for (In - Out / In) *100.</t>
  </si>
  <si>
    <t>TP concentration retention efficiency was calculated using (In - Out / In) *100.</t>
  </si>
  <si>
    <t>Evaoptranspiration increased due to the opening of a fourth water treatment wetland</t>
  </si>
  <si>
    <t xml:space="preserve">TP and SRP outflow loading rates were calculated as the difference between their respective inflow and retention loading rates. </t>
  </si>
  <si>
    <t>TP and SRP concentration retention efficiencies were calculated using their respective values for (In - Out / In) *100. TP load retention rates were calculated as the difference between inflow and outflow loading rates</t>
  </si>
  <si>
    <t>TP inflow and outflow loading rates were calculated using their respective (TP concentration  x flow rate)/wetland area. TP load  retention rates were calculated as the difference between inflow and outflow loading rates. TP load and concentration retention efficiencies was calculated using their respective values for ((In/Out)/In)*100</t>
  </si>
  <si>
    <t>Williamstown CW Retention Pond</t>
  </si>
  <si>
    <t>Williamstown CW First Reed Bed</t>
  </si>
  <si>
    <t>Williamstown CW Second Reed Bed</t>
  </si>
  <si>
    <t>TP and SRP, load and concentration retention efficiencies were calculated using their respective values for (In - Out / In) *100. TP and SRP retention rates were calculated as the difference between their respective values for inflow and outflow loading rates</t>
  </si>
  <si>
    <t>TP outflow loading rates were calculated as the difference between TP inflow and retention loading rates. TP retention efficiency was calculated using (retention load/inflow load)*100. Wetland to catchment area ratio was calculated as wetland area / catchment area *100</t>
  </si>
  <si>
    <t>TP concentration retention efficiency was calculated using their respective values for (In - Out / In) *100.  TP load retention rate was calculated as the differentce between inflow and outflow loads. TP load retention efficiency was calculated using  (Retention load/ Inflow load) * 100</t>
  </si>
  <si>
    <t>TP load retention rate was calculated as the differentce between inflow and outflow loads. TP load retention efficiency was calculated using  (Retention load/ Inflow load) * 100</t>
  </si>
  <si>
    <t>TP and SRP concentration retention efficiencies were calculated using their respective values for (In - Out / In) *100. TP outflow loading rates were calculated as the difference between TP inflow and retention loading rates. TP load retention efficiency was calculated using  (Retention load/ Inflow load) * 100</t>
  </si>
  <si>
    <t>TP concentration retention efficiency was calculated using their respective values for (In - Out / In) *100. TP outflow loading rates were calculated as the difference between TP inflow and retention loading rates</t>
  </si>
  <si>
    <t>TP concentration retention efficiency was calculated using their respective values for (In - Out / In) *100. Wetland to catchment area ratio was calculated as wetland area / catchment area *100</t>
  </si>
  <si>
    <t>TP concentration retention efficiency was calculated using their respective values for (In - Out / In) *100. TP outflow loading rate was calculated as the difference between inflow and retention loading rates. TP retention efficiency was calculated using (retention load/inflow load)*100.</t>
  </si>
  <si>
    <t xml:space="preserve">TP concentration retention efficiency was calculated using values for (In - Out / In) *100. TP outflow loading rates were calculated as the difference between TP inflow and retention loading rates. TP retention efficiency was calculated using (retention load/inflow load)*100. </t>
  </si>
  <si>
    <t>TP and SRP concentration retention efficiencies are calculated using their respective values for (In - Out / In) *100</t>
  </si>
  <si>
    <t>TP outflow loading rate was calculated as the difference between TP inflow and retention loading rates. TP load retention efficiency was calculated using (Retention / Inflow ) * 100</t>
  </si>
  <si>
    <t>Legend</t>
  </si>
  <si>
    <t>Displays wetland cell breakdown. Only color coded when paired with overall wetland data.</t>
  </si>
  <si>
    <t xml:space="preserve">TP concentration retention efficiency was calculated using their respective values for (In - Out / In) *100. TP inflow loading rate was calculated using (TP concentration x Inflow)/Wetland area. TP outflow loading rate was calculated as the difference between TP inflow and retention loading rates. </t>
  </si>
  <si>
    <t>Calculated from parameters extracted from paper</t>
  </si>
  <si>
    <t xml:space="preserve">Berg CW </t>
  </si>
  <si>
    <t xml:space="preserve">Kinn CW </t>
  </si>
  <si>
    <t xml:space="preserve">Flatabekken CW </t>
  </si>
  <si>
    <t>Bergaholm CW</t>
  </si>
  <si>
    <t>Rodstenseje CW</t>
  </si>
  <si>
    <t>Ryaa 1 CW</t>
  </si>
  <si>
    <t>Ryaa 3 CW</t>
  </si>
  <si>
    <t xml:space="preserve">STA-1W west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</si>
</sst>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 x14ac:knownFonts="1">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font>
    <font>
      <sz val="11"/>
      <name val="Calibri"/>
      <family val="2"/>
      <scheme val="minor"/>
    </font>
    <font>
      <sz val="11"/>
      <color theme="1"/>
      <name val="Aptos Narrow"/>
      <family val="2"/>
    </font>
    <font>
      <vertAlign val="superscript"/>
      <sz val="11"/>
      <color theme="1"/>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FF99FF"/>
        <bgColor indexed="64"/>
      </patternFill>
    </fill>
    <fill>
      <patternFill patternType="solid">
        <fgColor rgb="FFCC99FF"/>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1" fillId="2" borderId="1" xfId="0" applyFont="1" applyFill="1" applyBorder="1" applyAlignment="1">
      <alignment horizontal="center" wrapText="1"/>
    </xf>
    <xf numFmtId="0" fontId="1" fillId="0" borderId="1" xfId="0" applyFont="1" applyBorder="1"/>
    <xf numFmtId="0" fontId="1" fillId="2" borderId="1" xfId="0" applyFont="1" applyFill="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1" fillId="5"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0" fontId="1" fillId="0" borderId="1" xfId="0" applyFont="1" applyBorder="1" applyAlignment="1">
      <alignment wrapText="1"/>
    </xf>
    <xf numFmtId="0" fontId="0" fillId="0" borderId="0" xfId="0" applyAlignment="1">
      <alignment horizontal="righ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center" vertical="top"/>
    </xf>
    <xf numFmtId="2" fontId="0" fillId="0" borderId="0" xfId="0" applyNumberFormat="1" applyAlignment="1">
      <alignment horizontal="right" vertical="top"/>
    </xf>
    <xf numFmtId="0" fontId="3" fillId="0" borderId="0" xfId="0" applyFont="1" applyAlignment="1">
      <alignment horizontal="right" vertical="top"/>
    </xf>
    <xf numFmtId="2" fontId="2" fillId="0" borderId="0" xfId="0" applyNumberFormat="1" applyFont="1"/>
    <xf numFmtId="0" fontId="4" fillId="0" borderId="0" xfId="0" applyFont="1"/>
    <xf numFmtId="2" fontId="4" fillId="0" borderId="0" xfId="0" applyNumberFormat="1" applyFont="1" applyAlignment="1">
      <alignment horizontal="right" vertical="top"/>
    </xf>
    <xf numFmtId="164" fontId="0" fillId="0" borderId="0" xfId="0" applyNumberFormat="1"/>
    <xf numFmtId="2" fontId="0" fillId="0" borderId="0" xfId="0" applyNumberFormat="1"/>
    <xf numFmtId="0" fontId="0" fillId="0" borderId="0" xfId="0" applyAlignment="1">
      <alignment horizontal="fill"/>
    </xf>
    <xf numFmtId="0" fontId="1" fillId="3" borderId="0" xfId="0" applyFont="1" applyFill="1" applyAlignment="1">
      <alignment wrapText="1"/>
    </xf>
    <xf numFmtId="0" fontId="0" fillId="8" borderId="0" xfId="0" applyFill="1"/>
    <xf numFmtId="0" fontId="0" fillId="9" borderId="0" xfId="0" applyFill="1"/>
    <xf numFmtId="49" fontId="0" fillId="0" borderId="0" xfId="0" applyNumberFormat="1"/>
    <xf numFmtId="0" fontId="0" fillId="0" borderId="0" xfId="0" applyAlignment="1">
      <alignment horizontal="left" vertical="top"/>
    </xf>
    <xf numFmtId="0" fontId="0" fillId="0" borderId="0" xfId="0" applyAlignment="1">
      <alignment horizontal="left"/>
    </xf>
    <xf numFmtId="0" fontId="1" fillId="3" borderId="1" xfId="0" applyFont="1" applyFill="1" applyBorder="1" applyAlignment="1">
      <alignment horizontal="left" wrapText="1"/>
    </xf>
    <xf numFmtId="0" fontId="1" fillId="4" borderId="1" xfId="0" applyFont="1" applyFill="1" applyBorder="1" applyAlignment="1">
      <alignment horizontal="left" wrapText="1"/>
    </xf>
    <xf numFmtId="1" fontId="0" fillId="0" borderId="0" xfId="0" applyNumberFormat="1"/>
    <xf numFmtId="0" fontId="0" fillId="10" borderId="0" xfId="0" applyFill="1"/>
    <xf numFmtId="0" fontId="1" fillId="2" borderId="1" xfId="0" applyFont="1" applyFill="1" applyBorder="1" applyAlignment="1">
      <alignment horizontal="fill" wrapText="1"/>
    </xf>
    <xf numFmtId="0" fontId="0" fillId="11" borderId="0" xfId="0" applyFill="1"/>
    <xf numFmtId="165" fontId="0" fillId="0" borderId="0" xfId="0" applyNumberFormat="1"/>
    <xf numFmtId="0" fontId="4" fillId="11" borderId="0" xfId="0" applyFont="1" applyFill="1"/>
    <xf numFmtId="2" fontId="0" fillId="11" borderId="0" xfId="0" applyNumberFormat="1" applyFill="1"/>
    <xf numFmtId="2" fontId="4" fillId="11" borderId="0" xfId="0" applyNumberFormat="1" applyFont="1" applyFill="1"/>
    <xf numFmtId="2" fontId="4" fillId="11" borderId="0" xfId="0" applyNumberFormat="1" applyFont="1" applyFill="1" applyAlignment="1">
      <alignment horizontal="right" vertical="top"/>
    </xf>
    <xf numFmtId="164" fontId="0" fillId="11" borderId="0" xfId="0" applyNumberFormat="1" applyFill="1"/>
    <xf numFmtId="0" fontId="0" fillId="0" borderId="0" xfId="0" applyAlignment="1">
      <alignment vertical="top"/>
    </xf>
    <xf numFmtId="0" fontId="1" fillId="7" borderId="1" xfId="0" applyFont="1" applyFill="1" applyBorder="1" applyAlignment="1">
      <alignment horizontal="center"/>
    </xf>
    <xf numFmtId="0" fontId="1" fillId="2" borderId="1" xfId="0" applyFont="1" applyFill="1" applyBorder="1" applyAlignment="1">
      <alignment horizontal="center" wrapText="1"/>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6" borderId="1" xfId="0" applyFont="1" applyFill="1" applyBorder="1" applyAlignment="1">
      <alignment horizontal="center"/>
    </xf>
  </cellXfs>
  <cellStyles count="1">
    <cellStyle name="Normal" xfId="0" builtinId="0"/>
  </cellStyles>
  <dxfs count="13">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s>
  <tableStyles count="0" defaultTableStyle="TableStyleMedium2" defaultPivotStyle="PivotStyleLight16"/>
  <colors>
    <mruColors>
      <color rgb="FFDAC4DA"/>
      <color rgb="FFCC99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41EF-1247-4456-9639-F78300DBEAD4}">
  <dimension ref="A1:DA230"/>
  <sheetViews>
    <sheetView tabSelected="1" zoomScaleNormal="100" workbookViewId="0">
      <pane xSplit="5" ySplit="2" topLeftCell="F3" activePane="bottomRight" state="frozen"/>
      <selection pane="topRight" activeCell="F1" sqref="F1"/>
      <selection pane="bottomLeft" activeCell="A3" sqref="A3"/>
      <selection pane="bottomRight" activeCell="CZ11" sqref="CZ11"/>
    </sheetView>
  </sheetViews>
  <sheetFormatPr defaultRowHeight="14.5" x14ac:dyDescent="0.35"/>
  <cols>
    <col min="2" max="2" width="5" style="1" customWidth="1"/>
    <col min="3" max="3" width="12.08984375" customWidth="1"/>
    <col min="4" max="4" width="10.81640625" customWidth="1"/>
    <col min="5" max="5" width="48.1796875" bestFit="1" customWidth="1"/>
    <col min="7" max="7" width="10.453125" customWidth="1"/>
    <col min="8" max="8" width="9.81640625" customWidth="1"/>
    <col min="9" max="9" width="20.08984375" bestFit="1" customWidth="1"/>
    <col min="10" max="11" width="9.81640625" customWidth="1"/>
    <col min="12" max="16" width="10.1796875" customWidth="1"/>
    <col min="19" max="19" width="8.90625" style="24"/>
    <col min="20" max="21" width="12.6328125" customWidth="1"/>
    <col min="22" max="22" width="19.54296875" customWidth="1"/>
    <col min="23" max="23" width="17.1796875" style="30" customWidth="1"/>
    <col min="24" max="25" width="18" customWidth="1"/>
    <col min="26" max="28" width="9.453125" customWidth="1"/>
    <col min="29" max="29" width="18" bestFit="1" customWidth="1"/>
    <col min="30" max="35" width="9.453125" customWidth="1"/>
    <col min="44" max="46" width="13.36328125" customWidth="1"/>
    <col min="47" max="47" width="14.1796875" customWidth="1"/>
    <col min="48" max="48" width="12.08984375" customWidth="1"/>
    <col min="49" max="49" width="15.08984375" style="30" customWidth="1"/>
    <col min="50" max="50" width="15.08984375" customWidth="1"/>
    <col min="51" max="51" width="10.54296875" customWidth="1"/>
    <col min="52" max="52" width="10" bestFit="1" customWidth="1"/>
    <col min="53" max="53" width="10" customWidth="1"/>
    <col min="55" max="55" width="16.1796875" customWidth="1"/>
    <col min="56" max="56" width="14.1796875" customWidth="1"/>
    <col min="58" max="58" width="9.36328125" customWidth="1"/>
    <col min="59" max="59" width="10.6328125" customWidth="1"/>
    <col min="60" max="60" width="9.6328125" customWidth="1"/>
    <col min="65" max="66" width="10.1796875" customWidth="1"/>
    <col min="68" max="68" width="10.453125" customWidth="1"/>
    <col min="69" max="69" width="10.90625" customWidth="1"/>
    <col min="70" max="70" width="13" customWidth="1"/>
    <col min="73" max="73" width="13.36328125" customWidth="1"/>
    <col min="74" max="74" width="9.54296875" customWidth="1"/>
    <col min="75" max="75" width="9.81640625" customWidth="1"/>
    <col min="76" max="76" width="20.1796875" customWidth="1"/>
    <col min="77" max="77" width="10.90625" customWidth="1"/>
    <col min="78" max="78" width="10.81640625" customWidth="1"/>
    <col min="79" max="79" width="11.08984375" customWidth="1"/>
    <col min="80" max="80" width="11.54296875" customWidth="1"/>
    <col min="81" max="81" width="9.90625" customWidth="1"/>
    <col min="82" max="82" width="10" customWidth="1"/>
    <col min="84" max="84" width="13.54296875" customWidth="1"/>
    <col min="85" max="85" width="18.1796875" customWidth="1"/>
    <col min="87" max="87" width="10" customWidth="1"/>
    <col min="88" max="88" width="18" customWidth="1"/>
    <col min="89" max="89" width="15" customWidth="1"/>
    <col min="92" max="92" width="26.08984375" customWidth="1"/>
    <col min="95" max="95" width="27.08984375" customWidth="1"/>
    <col min="96" max="96" width="19.08984375" customWidth="1"/>
    <col min="97" max="97" width="18.81640625" customWidth="1"/>
    <col min="98" max="98" width="13.81640625" customWidth="1"/>
    <col min="99" max="99" width="12.90625" customWidth="1"/>
    <col min="100" max="100" width="13.1796875" customWidth="1"/>
    <col min="101" max="101" width="18.90625" customWidth="1"/>
    <col min="102" max="102" width="16.36328125" customWidth="1"/>
    <col min="103" max="103" width="60.90625" customWidth="1"/>
    <col min="105" max="105" width="9.54296875" customWidth="1"/>
    <col min="109" max="109" width="10.36328125" customWidth="1"/>
  </cols>
  <sheetData>
    <row r="1" spans="1:105" s="2" customFormat="1" ht="29" customHeight="1" x14ac:dyDescent="0.35">
      <c r="A1" s="45" t="s">
        <v>30</v>
      </c>
      <c r="B1" s="45"/>
      <c r="C1" s="45"/>
      <c r="D1" s="45"/>
      <c r="E1" s="45"/>
      <c r="F1" s="45"/>
      <c r="G1" s="45"/>
      <c r="H1" s="45"/>
      <c r="I1" s="45"/>
      <c r="J1" s="45"/>
      <c r="K1" s="45"/>
      <c r="L1" s="45"/>
      <c r="M1" s="45"/>
      <c r="N1" s="45"/>
      <c r="O1" s="45"/>
      <c r="P1" s="45"/>
      <c r="Q1" s="45"/>
      <c r="R1" s="4"/>
      <c r="S1" s="35"/>
      <c r="T1" s="46" t="s">
        <v>0</v>
      </c>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7" t="s">
        <v>55</v>
      </c>
      <c r="AW1" s="47"/>
      <c r="AX1" s="47"/>
      <c r="AY1" s="47"/>
      <c r="AZ1" s="47"/>
      <c r="BA1" s="47"/>
      <c r="BB1" s="47"/>
      <c r="BC1" s="47"/>
      <c r="BD1" s="47"/>
      <c r="BE1" s="48" t="s">
        <v>58</v>
      </c>
      <c r="BF1" s="48"/>
      <c r="BG1" s="48"/>
      <c r="BH1" s="48"/>
      <c r="BI1" s="48"/>
      <c r="BJ1" s="48"/>
      <c r="BK1" s="48"/>
      <c r="BL1" s="48"/>
      <c r="BM1" s="48"/>
      <c r="BN1" s="48"/>
      <c r="BO1" s="48"/>
      <c r="BP1" s="49" t="s">
        <v>3</v>
      </c>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4" t="s">
        <v>6</v>
      </c>
      <c r="CS1" s="44"/>
      <c r="CT1" s="44"/>
      <c r="CU1" s="44"/>
      <c r="CV1" s="44"/>
      <c r="CW1" s="44"/>
      <c r="CX1" s="44"/>
      <c r="CY1" s="5"/>
      <c r="CZ1" s="2" t="s">
        <v>900</v>
      </c>
    </row>
    <row r="2" spans="1:105" s="3" customFormat="1" ht="40.75" customHeight="1" x14ac:dyDescent="0.35">
      <c r="A2" s="6" t="s">
        <v>64</v>
      </c>
      <c r="B2" s="6" t="s">
        <v>63</v>
      </c>
      <c r="C2" s="6" t="s">
        <v>27</v>
      </c>
      <c r="D2" s="6" t="s">
        <v>26</v>
      </c>
      <c r="E2" s="6" t="s">
        <v>42</v>
      </c>
      <c r="F2" s="6" t="s">
        <v>59</v>
      </c>
      <c r="G2" s="6" t="s">
        <v>28</v>
      </c>
      <c r="H2" s="6" t="s">
        <v>68</v>
      </c>
      <c r="I2" s="6" t="s">
        <v>186</v>
      </c>
      <c r="J2" s="6" t="s">
        <v>39</v>
      </c>
      <c r="K2" s="6" t="s">
        <v>40</v>
      </c>
      <c r="L2" s="6" t="s">
        <v>29</v>
      </c>
      <c r="M2" s="6" t="s">
        <v>60</v>
      </c>
      <c r="N2" s="6" t="s">
        <v>61</v>
      </c>
      <c r="O2" s="6" t="s">
        <v>41</v>
      </c>
      <c r="P2" s="6" t="s">
        <v>113</v>
      </c>
      <c r="Q2" s="6" t="s">
        <v>86</v>
      </c>
      <c r="R2" s="6" t="s">
        <v>48</v>
      </c>
      <c r="S2" s="35" t="s">
        <v>47</v>
      </c>
      <c r="T2" s="7" t="s">
        <v>31</v>
      </c>
      <c r="U2" s="7" t="s">
        <v>62</v>
      </c>
      <c r="V2" s="7" t="s">
        <v>33</v>
      </c>
      <c r="W2" s="31" t="s">
        <v>34</v>
      </c>
      <c r="X2" s="7" t="s">
        <v>17</v>
      </c>
      <c r="Y2" s="7" t="s">
        <v>347</v>
      </c>
      <c r="Z2" s="7" t="s">
        <v>43</v>
      </c>
      <c r="AA2" s="7" t="s">
        <v>44</v>
      </c>
      <c r="AB2" s="7" t="s">
        <v>788</v>
      </c>
      <c r="AC2" s="7" t="s">
        <v>246</v>
      </c>
      <c r="AD2" s="7" t="s">
        <v>49</v>
      </c>
      <c r="AE2" s="7" t="s">
        <v>50</v>
      </c>
      <c r="AF2" s="7" t="s">
        <v>51</v>
      </c>
      <c r="AG2" s="7" t="s">
        <v>262</v>
      </c>
      <c r="AH2" s="7" t="s">
        <v>263</v>
      </c>
      <c r="AI2" s="7" t="s">
        <v>52</v>
      </c>
      <c r="AJ2" s="7" t="s">
        <v>223</v>
      </c>
      <c r="AK2" s="7" t="s">
        <v>224</v>
      </c>
      <c r="AL2" s="7" t="s">
        <v>787</v>
      </c>
      <c r="AM2" s="7" t="s">
        <v>225</v>
      </c>
      <c r="AN2" s="7" t="s">
        <v>226</v>
      </c>
      <c r="AO2" s="7" t="s">
        <v>53</v>
      </c>
      <c r="AP2" s="7" t="s">
        <v>54</v>
      </c>
      <c r="AQ2" s="7" t="s">
        <v>35</v>
      </c>
      <c r="AR2" s="7" t="s">
        <v>36</v>
      </c>
      <c r="AS2" s="7" t="s">
        <v>2</v>
      </c>
      <c r="AT2" s="7" t="s">
        <v>239</v>
      </c>
      <c r="AU2" s="25" t="s">
        <v>240</v>
      </c>
      <c r="AV2" s="8" t="s">
        <v>32</v>
      </c>
      <c r="AW2" s="32" t="s">
        <v>19</v>
      </c>
      <c r="AX2" s="8" t="s">
        <v>218</v>
      </c>
      <c r="AY2" s="8" t="s">
        <v>45</v>
      </c>
      <c r="AZ2" s="8" t="s">
        <v>37</v>
      </c>
      <c r="BA2" s="8" t="s">
        <v>46</v>
      </c>
      <c r="BB2" s="8" t="s">
        <v>38</v>
      </c>
      <c r="BC2" s="8" t="s">
        <v>17</v>
      </c>
      <c r="BD2" s="8" t="s">
        <v>1</v>
      </c>
      <c r="BE2" s="9" t="s">
        <v>89</v>
      </c>
      <c r="BF2" s="9" t="s">
        <v>90</v>
      </c>
      <c r="BG2" s="9" t="s">
        <v>674</v>
      </c>
      <c r="BH2" s="9" t="s">
        <v>772</v>
      </c>
      <c r="BI2" s="9" t="s">
        <v>91</v>
      </c>
      <c r="BJ2" s="9" t="s">
        <v>233</v>
      </c>
      <c r="BK2" s="9" t="s">
        <v>56</v>
      </c>
      <c r="BL2" s="9" t="s">
        <v>57</v>
      </c>
      <c r="BM2" s="9" t="s">
        <v>773</v>
      </c>
      <c r="BN2" s="9" t="s">
        <v>774</v>
      </c>
      <c r="BO2" s="9" t="s">
        <v>234</v>
      </c>
      <c r="BP2" s="10" t="s">
        <v>85</v>
      </c>
      <c r="BQ2" s="10" t="s">
        <v>177</v>
      </c>
      <c r="BR2" s="10" t="s">
        <v>217</v>
      </c>
      <c r="BS2" s="10" t="s">
        <v>97</v>
      </c>
      <c r="BT2" s="10" t="s">
        <v>98</v>
      </c>
      <c r="BU2" s="10" t="s">
        <v>649</v>
      </c>
      <c r="BV2" s="10" t="s">
        <v>259</v>
      </c>
      <c r="BW2" s="10" t="s">
        <v>260</v>
      </c>
      <c r="BX2" s="10" t="s">
        <v>18</v>
      </c>
      <c r="BY2" s="10" t="s">
        <v>94</v>
      </c>
      <c r="BZ2" s="10" t="s">
        <v>93</v>
      </c>
      <c r="CA2" s="10" t="s">
        <v>105</v>
      </c>
      <c r="CB2" s="10" t="s">
        <v>106</v>
      </c>
      <c r="CC2" s="10" t="s">
        <v>16</v>
      </c>
      <c r="CD2" s="10" t="s">
        <v>84</v>
      </c>
      <c r="CE2" s="10" t="s">
        <v>14</v>
      </c>
      <c r="CF2" s="10" t="s">
        <v>15</v>
      </c>
      <c r="CG2" s="10" t="s">
        <v>9</v>
      </c>
      <c r="CH2" s="10" t="s">
        <v>4</v>
      </c>
      <c r="CI2" s="10" t="s">
        <v>23</v>
      </c>
      <c r="CJ2" s="10" t="s">
        <v>20</v>
      </c>
      <c r="CK2" s="10" t="s">
        <v>221</v>
      </c>
      <c r="CL2" s="10" t="s">
        <v>5</v>
      </c>
      <c r="CM2" s="10" t="s">
        <v>308</v>
      </c>
      <c r="CN2" s="10" t="s">
        <v>10</v>
      </c>
      <c r="CO2" s="10" t="s">
        <v>24</v>
      </c>
      <c r="CP2" s="10" t="s">
        <v>25</v>
      </c>
      <c r="CQ2" s="10" t="s">
        <v>11</v>
      </c>
      <c r="CR2" s="11" t="s">
        <v>7</v>
      </c>
      <c r="CS2" s="11" t="s">
        <v>8</v>
      </c>
      <c r="CT2" s="11" t="s">
        <v>227</v>
      </c>
      <c r="CU2" s="11" t="s">
        <v>12</v>
      </c>
      <c r="CV2" s="11" t="s">
        <v>13</v>
      </c>
      <c r="CW2" s="11" t="s">
        <v>21</v>
      </c>
      <c r="CX2" s="11" t="s">
        <v>22</v>
      </c>
      <c r="CY2" s="12" t="s">
        <v>111</v>
      </c>
      <c r="CZ2" s="3" t="s">
        <v>581</v>
      </c>
      <c r="DA2" s="3" t="s">
        <v>582</v>
      </c>
    </row>
    <row r="3" spans="1:105" x14ac:dyDescent="0.35">
      <c r="A3">
        <v>39</v>
      </c>
      <c r="B3" s="1">
        <v>7</v>
      </c>
      <c r="C3" t="s">
        <v>344</v>
      </c>
      <c r="D3">
        <v>2005</v>
      </c>
      <c r="E3" t="s">
        <v>254</v>
      </c>
      <c r="G3" s="29" t="s">
        <v>211</v>
      </c>
      <c r="H3">
        <v>3</v>
      </c>
      <c r="I3" t="s">
        <v>195</v>
      </c>
      <c r="J3" s="14"/>
      <c r="O3" s="29" t="s">
        <v>80</v>
      </c>
      <c r="P3" t="s">
        <v>183</v>
      </c>
      <c r="Q3">
        <v>7</v>
      </c>
      <c r="R3" t="s">
        <v>229</v>
      </c>
      <c r="T3" t="s">
        <v>230</v>
      </c>
      <c r="W3" s="29" t="s">
        <v>211</v>
      </c>
      <c r="Y3" t="s">
        <v>87</v>
      </c>
      <c r="Z3" s="14"/>
      <c r="AA3" s="22"/>
      <c r="AQ3" t="s">
        <v>88</v>
      </c>
      <c r="AR3" t="s">
        <v>88</v>
      </c>
      <c r="AS3" t="s">
        <v>87</v>
      </c>
      <c r="AV3" t="s">
        <v>235</v>
      </c>
      <c r="AW3" s="29" t="s">
        <v>211</v>
      </c>
      <c r="AX3" t="s">
        <v>523</v>
      </c>
      <c r="AY3">
        <v>3784</v>
      </c>
      <c r="BC3" t="s">
        <v>237</v>
      </c>
      <c r="BD3" t="s">
        <v>87</v>
      </c>
      <c r="BE3" s="23">
        <v>73</v>
      </c>
      <c r="BF3" s="36">
        <v>42.34</v>
      </c>
      <c r="BG3" s="21">
        <v>30.66</v>
      </c>
      <c r="BH3" s="41">
        <v>42</v>
      </c>
      <c r="BJ3">
        <v>8.67</v>
      </c>
      <c r="BM3">
        <v>26.64</v>
      </c>
      <c r="BO3">
        <v>7.67</v>
      </c>
      <c r="BP3" s="13">
        <v>352</v>
      </c>
      <c r="BW3">
        <v>0.5</v>
      </c>
      <c r="BX3" t="s">
        <v>624</v>
      </c>
      <c r="BY3" t="s">
        <v>96</v>
      </c>
      <c r="BZ3" t="s">
        <v>345</v>
      </c>
      <c r="CC3">
        <v>384</v>
      </c>
      <c r="CD3">
        <v>10.95</v>
      </c>
      <c r="CE3">
        <v>13</v>
      </c>
      <c r="CR3" s="24" t="s">
        <v>346</v>
      </c>
      <c r="CW3" t="s">
        <v>232</v>
      </c>
      <c r="CY3" s="24" t="s">
        <v>899</v>
      </c>
      <c r="CZ3" s="26"/>
      <c r="DA3" t="s">
        <v>514</v>
      </c>
    </row>
    <row r="4" spans="1:105" ht="14" customHeight="1" x14ac:dyDescent="0.35">
      <c r="A4">
        <v>40</v>
      </c>
      <c r="B4" s="1">
        <v>7</v>
      </c>
      <c r="C4" t="s">
        <v>344</v>
      </c>
      <c r="D4">
        <v>2005</v>
      </c>
      <c r="E4" t="s">
        <v>255</v>
      </c>
      <c r="G4" s="29" t="s">
        <v>211</v>
      </c>
      <c r="H4">
        <v>3</v>
      </c>
      <c r="I4" t="s">
        <v>195</v>
      </c>
      <c r="J4" s="14"/>
      <c r="O4" s="29" t="s">
        <v>80</v>
      </c>
      <c r="P4" t="s">
        <v>183</v>
      </c>
      <c r="Q4">
        <v>7</v>
      </c>
      <c r="R4" t="s">
        <v>229</v>
      </c>
      <c r="T4" t="s">
        <v>230</v>
      </c>
      <c r="W4" s="29" t="s">
        <v>211</v>
      </c>
      <c r="Y4" t="s">
        <v>87</v>
      </c>
      <c r="Z4" s="14"/>
      <c r="AA4" s="22"/>
      <c r="AQ4" t="s">
        <v>88</v>
      </c>
      <c r="AR4" t="s">
        <v>88</v>
      </c>
      <c r="AS4" t="s">
        <v>87</v>
      </c>
      <c r="AV4" t="s">
        <v>235</v>
      </c>
      <c r="AW4" s="29" t="s">
        <v>211</v>
      </c>
      <c r="AX4" t="s">
        <v>523</v>
      </c>
      <c r="AY4">
        <v>6938</v>
      </c>
      <c r="BC4" t="s">
        <v>237</v>
      </c>
      <c r="BD4" t="s">
        <v>87</v>
      </c>
      <c r="BE4" s="23">
        <v>120</v>
      </c>
      <c r="BF4" s="36">
        <v>67.8</v>
      </c>
      <c r="BG4" s="21">
        <v>52.2</v>
      </c>
      <c r="BH4" s="41">
        <v>43.5</v>
      </c>
      <c r="BJ4">
        <v>15</v>
      </c>
      <c r="BM4">
        <v>43.44</v>
      </c>
      <c r="BO4">
        <v>11</v>
      </c>
      <c r="BP4" s="13">
        <v>352</v>
      </c>
      <c r="BW4">
        <v>0.5</v>
      </c>
      <c r="BX4" t="s">
        <v>624</v>
      </c>
      <c r="BY4" t="s">
        <v>96</v>
      </c>
      <c r="BZ4" t="s">
        <v>345</v>
      </c>
      <c r="CC4">
        <v>240</v>
      </c>
      <c r="CD4">
        <v>18.25</v>
      </c>
      <c r="CE4">
        <v>13</v>
      </c>
      <c r="CR4" s="24" t="s">
        <v>346</v>
      </c>
      <c r="CW4" t="s">
        <v>232</v>
      </c>
      <c r="CY4" s="24" t="s">
        <v>899</v>
      </c>
      <c r="CZ4" s="27"/>
      <c r="DA4" t="s">
        <v>901</v>
      </c>
    </row>
    <row r="5" spans="1:105" x14ac:dyDescent="0.35">
      <c r="A5">
        <v>41</v>
      </c>
      <c r="B5" s="1">
        <v>7</v>
      </c>
      <c r="C5" t="s">
        <v>344</v>
      </c>
      <c r="D5">
        <v>2005</v>
      </c>
      <c r="E5" t="s">
        <v>256</v>
      </c>
      <c r="G5" s="29" t="s">
        <v>211</v>
      </c>
      <c r="H5">
        <v>3</v>
      </c>
      <c r="I5" t="s">
        <v>195</v>
      </c>
      <c r="J5" s="14"/>
      <c r="O5" s="29" t="s">
        <v>80</v>
      </c>
      <c r="P5" t="s">
        <v>183</v>
      </c>
      <c r="Q5">
        <v>7</v>
      </c>
      <c r="R5" t="s">
        <v>229</v>
      </c>
      <c r="T5" t="s">
        <v>230</v>
      </c>
      <c r="W5" s="29" t="s">
        <v>211</v>
      </c>
      <c r="Y5" t="s">
        <v>87</v>
      </c>
      <c r="Z5" s="22"/>
      <c r="AA5" s="22"/>
      <c r="AQ5" t="s">
        <v>88</v>
      </c>
      <c r="AR5" t="s">
        <v>88</v>
      </c>
      <c r="AS5" t="s">
        <v>87</v>
      </c>
      <c r="AV5" t="s">
        <v>235</v>
      </c>
      <c r="AW5" s="29" t="s">
        <v>211</v>
      </c>
      <c r="AX5" t="s">
        <v>523</v>
      </c>
      <c r="AY5">
        <v>17660</v>
      </c>
      <c r="BC5" t="s">
        <v>237</v>
      </c>
      <c r="BD5" t="s">
        <v>87</v>
      </c>
      <c r="BE5" s="23">
        <v>120</v>
      </c>
      <c r="BF5" s="36">
        <v>84.22999999999999</v>
      </c>
      <c r="BG5" s="21">
        <v>35.770000000000003</v>
      </c>
      <c r="BH5" s="41">
        <v>29.81</v>
      </c>
      <c r="BJ5">
        <v>30.7</v>
      </c>
      <c r="BM5">
        <v>27.38</v>
      </c>
      <c r="BO5">
        <v>23.33</v>
      </c>
      <c r="BP5" s="13">
        <v>975</v>
      </c>
      <c r="BW5">
        <v>0.5</v>
      </c>
      <c r="BX5" t="s">
        <v>624</v>
      </c>
      <c r="BY5" t="s">
        <v>96</v>
      </c>
      <c r="BZ5" t="s">
        <v>345</v>
      </c>
      <c r="CC5">
        <v>240</v>
      </c>
      <c r="CD5">
        <v>18.25</v>
      </c>
      <c r="CE5">
        <v>4.33</v>
      </c>
      <c r="CW5" t="s">
        <v>232</v>
      </c>
      <c r="CY5" s="24" t="s">
        <v>899</v>
      </c>
      <c r="CZ5" s="34"/>
      <c r="DA5" t="s">
        <v>903</v>
      </c>
    </row>
    <row r="6" spans="1:105" x14ac:dyDescent="0.35">
      <c r="A6">
        <v>200</v>
      </c>
      <c r="B6" s="1">
        <v>22</v>
      </c>
      <c r="C6" t="s">
        <v>145</v>
      </c>
      <c r="D6">
        <v>2018</v>
      </c>
      <c r="E6" t="s">
        <v>503</v>
      </c>
      <c r="G6" t="s">
        <v>806</v>
      </c>
      <c r="H6">
        <v>2</v>
      </c>
      <c r="I6" t="s">
        <v>190</v>
      </c>
      <c r="J6">
        <v>61.155999999999999</v>
      </c>
      <c r="K6">
        <v>25.667999999999999</v>
      </c>
      <c r="M6" s="28" t="s">
        <v>804</v>
      </c>
      <c r="O6" t="s">
        <v>304</v>
      </c>
      <c r="R6" t="s">
        <v>229</v>
      </c>
      <c r="T6" t="s">
        <v>354</v>
      </c>
      <c r="W6" s="30" t="s">
        <v>806</v>
      </c>
      <c r="Y6" t="s">
        <v>87</v>
      </c>
      <c r="AA6" s="22"/>
      <c r="AQ6" t="s">
        <v>88</v>
      </c>
      <c r="AR6" t="s">
        <v>88</v>
      </c>
      <c r="AS6" t="s">
        <v>87</v>
      </c>
      <c r="AW6" t="s">
        <v>806</v>
      </c>
      <c r="AY6">
        <v>317915</v>
      </c>
      <c r="BE6">
        <v>2.65</v>
      </c>
      <c r="BF6" s="36">
        <f>BE6-BG6</f>
        <v>2.23</v>
      </c>
      <c r="BG6">
        <v>0.42</v>
      </c>
      <c r="BH6" s="36">
        <v>15.85</v>
      </c>
      <c r="BJ6">
        <v>16.7</v>
      </c>
      <c r="BK6">
        <v>0.63900000000000001</v>
      </c>
      <c r="BL6" s="36">
        <f>BK6-BM6</f>
        <v>0.20900000000000002</v>
      </c>
      <c r="BM6">
        <v>0.43</v>
      </c>
      <c r="BN6" s="36">
        <v>67.290000000000006</v>
      </c>
      <c r="BO6">
        <v>17.2</v>
      </c>
      <c r="BP6">
        <v>40000</v>
      </c>
      <c r="BU6">
        <v>1</v>
      </c>
      <c r="BX6" t="s">
        <v>807</v>
      </c>
      <c r="BY6" t="s">
        <v>96</v>
      </c>
      <c r="CA6" s="28" t="s">
        <v>805</v>
      </c>
      <c r="CC6">
        <v>960</v>
      </c>
      <c r="CY6" s="24" t="s">
        <v>783</v>
      </c>
    </row>
    <row r="7" spans="1:105" x14ac:dyDescent="0.35">
      <c r="A7">
        <v>11</v>
      </c>
      <c r="B7" s="1">
        <v>26</v>
      </c>
      <c r="C7" t="s">
        <v>174</v>
      </c>
      <c r="D7">
        <v>2005</v>
      </c>
      <c r="E7" t="s">
        <v>481</v>
      </c>
      <c r="G7" t="s">
        <v>314</v>
      </c>
      <c r="H7">
        <v>7</v>
      </c>
      <c r="I7" t="s">
        <v>197</v>
      </c>
      <c r="O7" t="s">
        <v>267</v>
      </c>
      <c r="P7" t="s">
        <v>182</v>
      </c>
      <c r="Q7" t="s">
        <v>320</v>
      </c>
      <c r="R7" t="s">
        <v>229</v>
      </c>
      <c r="T7" t="s">
        <v>733</v>
      </c>
      <c r="W7" s="30" t="s">
        <v>314</v>
      </c>
      <c r="Y7" t="s">
        <v>87</v>
      </c>
      <c r="Z7" s="22">
        <v>0.15</v>
      </c>
      <c r="AA7" s="22">
        <v>0.11</v>
      </c>
      <c r="AB7" s="36">
        <v>26.67</v>
      </c>
      <c r="AJ7">
        <v>0.11</v>
      </c>
      <c r="AQ7" t="s">
        <v>88</v>
      </c>
      <c r="AR7" t="s">
        <v>88</v>
      </c>
      <c r="AS7" t="s">
        <v>87</v>
      </c>
      <c r="AW7" s="30" t="s">
        <v>314</v>
      </c>
      <c r="BD7" t="s">
        <v>83</v>
      </c>
      <c r="BE7">
        <v>3.3</v>
      </c>
      <c r="BF7" s="36">
        <v>2.2999999999999998</v>
      </c>
      <c r="BG7">
        <v>1</v>
      </c>
      <c r="BH7" s="36">
        <v>30.3</v>
      </c>
      <c r="BP7">
        <v>200000</v>
      </c>
      <c r="BS7">
        <v>2</v>
      </c>
      <c r="BT7">
        <v>5</v>
      </c>
      <c r="BU7">
        <v>0.5</v>
      </c>
      <c r="BX7" t="s">
        <v>619</v>
      </c>
      <c r="BY7" t="s">
        <v>95</v>
      </c>
      <c r="CC7" s="28" t="s">
        <v>317</v>
      </c>
      <c r="CD7">
        <v>20.8</v>
      </c>
      <c r="CR7" s="24" t="s">
        <v>319</v>
      </c>
      <c r="CY7" s="24" t="s">
        <v>891</v>
      </c>
    </row>
    <row r="8" spans="1:105" x14ac:dyDescent="0.35">
      <c r="A8">
        <v>12</v>
      </c>
      <c r="B8" s="1">
        <v>26</v>
      </c>
      <c r="C8" t="s">
        <v>174</v>
      </c>
      <c r="D8">
        <v>2005</v>
      </c>
      <c r="E8" t="s">
        <v>480</v>
      </c>
      <c r="G8" t="s">
        <v>316</v>
      </c>
      <c r="H8">
        <v>8</v>
      </c>
      <c r="I8" t="s">
        <v>197</v>
      </c>
      <c r="O8" t="s">
        <v>267</v>
      </c>
      <c r="P8" t="s">
        <v>182</v>
      </c>
      <c r="Q8" s="28" t="s">
        <v>320</v>
      </c>
      <c r="R8" t="s">
        <v>229</v>
      </c>
      <c r="T8" t="s">
        <v>733</v>
      </c>
      <c r="W8" s="30" t="s">
        <v>316</v>
      </c>
      <c r="Y8" t="s">
        <v>87</v>
      </c>
      <c r="Z8" s="22">
        <v>0.4</v>
      </c>
      <c r="AA8" s="22">
        <v>0.04</v>
      </c>
      <c r="AB8" s="36">
        <v>90</v>
      </c>
      <c r="AQ8" t="s">
        <v>88</v>
      </c>
      <c r="AR8" t="s">
        <v>88</v>
      </c>
      <c r="AS8" t="s">
        <v>87</v>
      </c>
      <c r="AW8" s="30" t="s">
        <v>316</v>
      </c>
      <c r="BD8" t="s">
        <v>83</v>
      </c>
      <c r="BE8">
        <v>3</v>
      </c>
      <c r="BF8" s="36">
        <v>0.3</v>
      </c>
      <c r="BG8">
        <v>2.7</v>
      </c>
      <c r="BH8" s="36">
        <v>90</v>
      </c>
      <c r="BP8">
        <v>230000</v>
      </c>
      <c r="BT8">
        <v>5</v>
      </c>
      <c r="BX8" t="s">
        <v>618</v>
      </c>
      <c r="BY8" t="s">
        <v>96</v>
      </c>
      <c r="BZ8" t="s">
        <v>95</v>
      </c>
      <c r="CC8" s="28">
        <v>192</v>
      </c>
      <c r="CD8">
        <v>7.67</v>
      </c>
      <c r="CE8" s="28"/>
      <c r="CY8" s="24" t="s">
        <v>891</v>
      </c>
    </row>
    <row r="9" spans="1:105" x14ac:dyDescent="0.35">
      <c r="A9">
        <v>13</v>
      </c>
      <c r="B9" s="1">
        <v>26</v>
      </c>
      <c r="C9" t="s">
        <v>174</v>
      </c>
      <c r="D9">
        <v>2005</v>
      </c>
      <c r="E9" t="s">
        <v>479</v>
      </c>
      <c r="G9" t="s">
        <v>315</v>
      </c>
      <c r="H9">
        <v>3</v>
      </c>
      <c r="I9" t="s">
        <v>197</v>
      </c>
      <c r="O9" t="s">
        <v>267</v>
      </c>
      <c r="P9" t="s">
        <v>182</v>
      </c>
      <c r="Q9" s="28" t="s">
        <v>320</v>
      </c>
      <c r="R9" t="s">
        <v>229</v>
      </c>
      <c r="T9" t="s">
        <v>733</v>
      </c>
      <c r="W9" s="30" t="s">
        <v>315</v>
      </c>
      <c r="Y9" t="s">
        <v>87</v>
      </c>
      <c r="Z9" s="22">
        <v>0.23</v>
      </c>
      <c r="AA9" s="22">
        <v>0.1</v>
      </c>
      <c r="AB9" s="36">
        <v>56.52</v>
      </c>
      <c r="AJ9">
        <v>0.12</v>
      </c>
      <c r="AQ9" t="s">
        <v>88</v>
      </c>
      <c r="AR9" t="s">
        <v>88</v>
      </c>
      <c r="AS9" t="s">
        <v>87</v>
      </c>
      <c r="AW9" s="30" t="s">
        <v>315</v>
      </c>
      <c r="BD9" t="s">
        <v>83</v>
      </c>
      <c r="BE9">
        <v>7.7</v>
      </c>
      <c r="BF9" s="36">
        <v>3.6</v>
      </c>
      <c r="BG9">
        <v>4.0999999999999996</v>
      </c>
      <c r="BH9" s="36">
        <v>53.24</v>
      </c>
      <c r="BP9">
        <v>280000</v>
      </c>
      <c r="BS9">
        <v>3</v>
      </c>
      <c r="BT9">
        <v>9</v>
      </c>
      <c r="BU9">
        <v>1</v>
      </c>
      <c r="BX9" t="s">
        <v>618</v>
      </c>
      <c r="BY9" t="s">
        <v>96</v>
      </c>
      <c r="BZ9" t="s">
        <v>95</v>
      </c>
      <c r="CC9" s="28" t="s">
        <v>318</v>
      </c>
      <c r="CD9">
        <v>56.6</v>
      </c>
      <c r="CE9" s="28"/>
      <c r="CV9" t="s">
        <v>261</v>
      </c>
      <c r="CY9" s="24" t="s">
        <v>891</v>
      </c>
    </row>
    <row r="10" spans="1:105" x14ac:dyDescent="0.35">
      <c r="A10">
        <v>14</v>
      </c>
      <c r="B10" s="1">
        <v>26</v>
      </c>
      <c r="C10" t="s">
        <v>174</v>
      </c>
      <c r="D10">
        <v>2005</v>
      </c>
      <c r="E10" t="s">
        <v>478</v>
      </c>
      <c r="G10" t="s">
        <v>315</v>
      </c>
      <c r="H10">
        <v>3</v>
      </c>
      <c r="I10" t="s">
        <v>197</v>
      </c>
      <c r="O10" t="s">
        <v>267</v>
      </c>
      <c r="P10" t="s">
        <v>182</v>
      </c>
      <c r="Q10" s="28" t="s">
        <v>321</v>
      </c>
      <c r="R10" t="s">
        <v>229</v>
      </c>
      <c r="T10" t="s">
        <v>733</v>
      </c>
      <c r="W10" s="30" t="s">
        <v>315</v>
      </c>
      <c r="Y10" t="s">
        <v>87</v>
      </c>
      <c r="Z10" s="22">
        <v>0.37</v>
      </c>
      <c r="AA10" s="22">
        <v>0.12</v>
      </c>
      <c r="AB10" s="36">
        <v>67.569999999999993</v>
      </c>
      <c r="AQ10" t="s">
        <v>88</v>
      </c>
      <c r="AR10" t="s">
        <v>88</v>
      </c>
      <c r="AS10" t="s">
        <v>87</v>
      </c>
      <c r="AW10" s="30" t="s">
        <v>315</v>
      </c>
      <c r="BD10" t="s">
        <v>83</v>
      </c>
      <c r="BE10">
        <v>1.7</v>
      </c>
      <c r="BF10" s="36">
        <v>0.5</v>
      </c>
      <c r="BG10">
        <v>1.2</v>
      </c>
      <c r="BH10" s="36">
        <v>70.59</v>
      </c>
      <c r="BP10">
        <v>280000</v>
      </c>
      <c r="BX10" t="s">
        <v>617</v>
      </c>
      <c r="BY10" t="s">
        <v>96</v>
      </c>
      <c r="CC10" s="28">
        <v>336</v>
      </c>
      <c r="CD10">
        <v>6.21</v>
      </c>
      <c r="CE10" s="28"/>
      <c r="CY10" s="24" t="s">
        <v>891</v>
      </c>
    </row>
    <row r="11" spans="1:105" x14ac:dyDescent="0.35">
      <c r="A11">
        <v>89</v>
      </c>
      <c r="B11" s="1">
        <v>29</v>
      </c>
      <c r="C11" t="s">
        <v>143</v>
      </c>
      <c r="D11">
        <v>2010</v>
      </c>
      <c r="E11" t="s">
        <v>502</v>
      </c>
      <c r="G11" t="s">
        <v>724</v>
      </c>
      <c r="H11">
        <v>14</v>
      </c>
      <c r="I11" t="s">
        <v>201</v>
      </c>
      <c r="R11" t="s">
        <v>229</v>
      </c>
      <c r="T11" t="s">
        <v>725</v>
      </c>
      <c r="V11" t="s">
        <v>222</v>
      </c>
      <c r="W11" s="30" t="s">
        <v>724</v>
      </c>
      <c r="Y11" t="s">
        <v>87</v>
      </c>
      <c r="Z11" s="22"/>
      <c r="AA11" s="22"/>
      <c r="AC11" t="s">
        <v>277</v>
      </c>
      <c r="AQ11" t="s">
        <v>88</v>
      </c>
      <c r="AR11" t="s">
        <v>88</v>
      </c>
      <c r="AS11" t="s">
        <v>87</v>
      </c>
      <c r="AV11" t="s">
        <v>235</v>
      </c>
      <c r="AW11" s="30" t="s">
        <v>724</v>
      </c>
      <c r="AY11">
        <v>20803905</v>
      </c>
      <c r="BA11">
        <v>20050545</v>
      </c>
      <c r="BE11">
        <v>124</v>
      </c>
      <c r="BG11">
        <v>6.9</v>
      </c>
      <c r="BI11">
        <v>2.7</v>
      </c>
      <c r="BP11" s="28" t="s">
        <v>726</v>
      </c>
      <c r="BT11" s="28" t="s">
        <v>727</v>
      </c>
      <c r="BX11" t="s">
        <v>621</v>
      </c>
      <c r="BY11" t="s">
        <v>96</v>
      </c>
      <c r="CC11">
        <v>73.2</v>
      </c>
      <c r="CD11">
        <v>48.18</v>
      </c>
      <c r="CH11" t="s">
        <v>265</v>
      </c>
      <c r="CQ11" t="s">
        <v>882</v>
      </c>
      <c r="CX11" t="s">
        <v>728</v>
      </c>
      <c r="CY11" s="24"/>
    </row>
    <row r="12" spans="1:105" x14ac:dyDescent="0.35">
      <c r="A12">
        <v>1</v>
      </c>
      <c r="B12" s="1">
        <v>33</v>
      </c>
      <c r="C12" t="s">
        <v>170</v>
      </c>
      <c r="D12">
        <v>2008</v>
      </c>
      <c r="E12" t="s">
        <v>483</v>
      </c>
      <c r="G12" t="s">
        <v>298</v>
      </c>
      <c r="H12">
        <v>1</v>
      </c>
      <c r="I12" t="s">
        <v>191</v>
      </c>
      <c r="R12" t="s">
        <v>229</v>
      </c>
      <c r="T12" t="s">
        <v>338</v>
      </c>
      <c r="W12" s="30" t="s">
        <v>298</v>
      </c>
      <c r="Y12" t="s">
        <v>87</v>
      </c>
      <c r="Z12" s="22">
        <v>1.86</v>
      </c>
      <c r="AA12" s="22">
        <v>0.9</v>
      </c>
      <c r="AB12" s="36">
        <v>51.61</v>
      </c>
      <c r="AJ12">
        <v>1.31</v>
      </c>
      <c r="AK12">
        <v>0.35</v>
      </c>
      <c r="AL12" s="36">
        <v>73.3</v>
      </c>
      <c r="AQ12" t="s">
        <v>88</v>
      </c>
      <c r="AR12" t="s">
        <v>88</v>
      </c>
      <c r="AS12" t="s">
        <v>87</v>
      </c>
      <c r="AW12" s="30" t="s">
        <v>298</v>
      </c>
      <c r="AX12" t="s">
        <v>359</v>
      </c>
      <c r="AY12">
        <v>9636</v>
      </c>
      <c r="BE12">
        <v>36.5</v>
      </c>
      <c r="BF12" s="36">
        <v>18.2</v>
      </c>
      <c r="BG12">
        <v>18.3</v>
      </c>
      <c r="BH12" s="36">
        <v>50.14</v>
      </c>
      <c r="BP12">
        <v>500</v>
      </c>
      <c r="BU12">
        <v>0.1</v>
      </c>
      <c r="BX12" t="s">
        <v>617</v>
      </c>
      <c r="BY12" t="s">
        <v>96</v>
      </c>
      <c r="CC12">
        <v>46</v>
      </c>
      <c r="CD12">
        <v>19.3</v>
      </c>
      <c r="CE12">
        <v>1.88</v>
      </c>
      <c r="CG12" t="s">
        <v>297</v>
      </c>
      <c r="CI12" t="s">
        <v>300</v>
      </c>
      <c r="CK12" t="s">
        <v>299</v>
      </c>
      <c r="CQ12" s="24" t="s">
        <v>303</v>
      </c>
      <c r="CY12" s="24" t="s">
        <v>893</v>
      </c>
    </row>
    <row r="13" spans="1:105" x14ac:dyDescent="0.35">
      <c r="A13">
        <v>9</v>
      </c>
      <c r="B13" s="1">
        <v>35</v>
      </c>
      <c r="C13" t="s">
        <v>141</v>
      </c>
      <c r="D13">
        <v>2003</v>
      </c>
      <c r="E13" t="s">
        <v>501</v>
      </c>
      <c r="G13" t="s">
        <v>744</v>
      </c>
      <c r="H13">
        <v>2</v>
      </c>
      <c r="I13" t="s">
        <v>199</v>
      </c>
      <c r="J13">
        <v>33.799999999999997</v>
      </c>
      <c r="K13">
        <v>-117.017</v>
      </c>
      <c r="N13">
        <v>256</v>
      </c>
      <c r="R13" t="s">
        <v>229</v>
      </c>
      <c r="T13" t="s">
        <v>338</v>
      </c>
      <c r="V13" t="s">
        <v>112</v>
      </c>
      <c r="W13" t="s">
        <v>744</v>
      </c>
      <c r="Y13" t="s">
        <v>87</v>
      </c>
      <c r="Z13" s="22">
        <v>2.5</v>
      </c>
      <c r="AA13" s="22">
        <v>2.7</v>
      </c>
      <c r="AB13" s="36">
        <v>-8</v>
      </c>
      <c r="AC13" t="s">
        <v>277</v>
      </c>
      <c r="AF13">
        <v>1.6</v>
      </c>
      <c r="AI13">
        <v>0.7</v>
      </c>
      <c r="AQ13" t="s">
        <v>88</v>
      </c>
      <c r="AR13" t="s">
        <v>87</v>
      </c>
      <c r="AS13" t="s">
        <v>87</v>
      </c>
      <c r="AV13" t="s">
        <v>235</v>
      </c>
      <c r="AW13" t="s">
        <v>744</v>
      </c>
      <c r="AX13" t="s">
        <v>749</v>
      </c>
      <c r="AY13">
        <v>1862230</v>
      </c>
      <c r="BE13">
        <v>45.63</v>
      </c>
      <c r="BH13">
        <v>4.5999999999999996</v>
      </c>
      <c r="BP13">
        <v>99000</v>
      </c>
      <c r="BV13">
        <v>0.5</v>
      </c>
      <c r="BW13">
        <v>1.8</v>
      </c>
      <c r="BX13" t="s">
        <v>747</v>
      </c>
      <c r="BY13" t="s">
        <v>96</v>
      </c>
      <c r="CA13" t="s">
        <v>750</v>
      </c>
      <c r="CG13" t="s">
        <v>752</v>
      </c>
      <c r="CO13" t="s">
        <v>88</v>
      </c>
      <c r="CX13" t="s">
        <v>746</v>
      </c>
      <c r="CY13" s="24" t="s">
        <v>881</v>
      </c>
    </row>
    <row r="14" spans="1:105" x14ac:dyDescent="0.35">
      <c r="A14">
        <v>10</v>
      </c>
      <c r="B14" s="1">
        <v>35</v>
      </c>
      <c r="C14" t="s">
        <v>141</v>
      </c>
      <c r="D14">
        <v>2003</v>
      </c>
      <c r="E14" t="s">
        <v>501</v>
      </c>
      <c r="G14" t="s">
        <v>745</v>
      </c>
      <c r="H14">
        <v>3</v>
      </c>
      <c r="I14" t="s">
        <v>199</v>
      </c>
      <c r="J14">
        <v>33.799999999999997</v>
      </c>
      <c r="K14">
        <v>-117.017</v>
      </c>
      <c r="N14">
        <v>256</v>
      </c>
      <c r="R14" t="s">
        <v>229</v>
      </c>
      <c r="T14" t="s">
        <v>338</v>
      </c>
      <c r="V14" t="s">
        <v>112</v>
      </c>
      <c r="W14" t="s">
        <v>745</v>
      </c>
      <c r="Y14" t="s">
        <v>87</v>
      </c>
      <c r="Z14" s="22">
        <v>2.2999999999999998</v>
      </c>
      <c r="AA14" s="22">
        <v>2.2000000000000002</v>
      </c>
      <c r="AB14" s="36">
        <v>4.3499999999999996</v>
      </c>
      <c r="AC14" t="s">
        <v>277</v>
      </c>
      <c r="AF14">
        <v>1</v>
      </c>
      <c r="AI14">
        <v>0.6</v>
      </c>
      <c r="AQ14" t="s">
        <v>88</v>
      </c>
      <c r="AR14" t="s">
        <v>87</v>
      </c>
      <c r="AS14" t="s">
        <v>87</v>
      </c>
      <c r="AV14" t="s">
        <v>235</v>
      </c>
      <c r="AW14" t="s">
        <v>745</v>
      </c>
      <c r="AX14" t="s">
        <v>749</v>
      </c>
      <c r="AY14">
        <v>2952485</v>
      </c>
      <c r="BE14">
        <v>67.53</v>
      </c>
      <c r="BH14">
        <v>8.6999999999999993</v>
      </c>
      <c r="BP14">
        <v>99000</v>
      </c>
      <c r="BV14">
        <v>0.5</v>
      </c>
      <c r="BW14">
        <v>1.8</v>
      </c>
      <c r="BX14" t="s">
        <v>748</v>
      </c>
      <c r="BY14" t="s">
        <v>96</v>
      </c>
      <c r="CA14" t="s">
        <v>751</v>
      </c>
      <c r="CG14" t="s">
        <v>752</v>
      </c>
      <c r="CO14" t="s">
        <v>88</v>
      </c>
      <c r="CX14" t="s">
        <v>746</v>
      </c>
      <c r="CY14" s="24" t="s">
        <v>881</v>
      </c>
    </row>
    <row r="15" spans="1:105" x14ac:dyDescent="0.35">
      <c r="A15">
        <v>15</v>
      </c>
      <c r="B15" s="1">
        <v>36</v>
      </c>
      <c r="C15" t="s">
        <v>158</v>
      </c>
      <c r="D15">
        <v>2001</v>
      </c>
      <c r="E15" t="s">
        <v>507</v>
      </c>
      <c r="G15" t="s">
        <v>404</v>
      </c>
      <c r="H15">
        <v>3</v>
      </c>
      <c r="I15" t="s">
        <v>205</v>
      </c>
      <c r="O15" t="s">
        <v>310</v>
      </c>
      <c r="Q15">
        <v>0</v>
      </c>
      <c r="R15" t="s">
        <v>296</v>
      </c>
      <c r="S15" s="24" t="s">
        <v>386</v>
      </c>
      <c r="T15" t="s">
        <v>354</v>
      </c>
      <c r="V15" t="s">
        <v>112</v>
      </c>
      <c r="W15" t="s">
        <v>404</v>
      </c>
      <c r="Z15" s="22">
        <v>0.37</v>
      </c>
      <c r="AA15" s="22">
        <v>0.56999999999999995</v>
      </c>
      <c r="AB15">
        <v>-55</v>
      </c>
      <c r="AC15" t="s">
        <v>277</v>
      </c>
      <c r="AQ15" t="s">
        <v>88</v>
      </c>
      <c r="AR15" t="s">
        <v>87</v>
      </c>
      <c r="AS15" t="s">
        <v>87</v>
      </c>
      <c r="AV15" t="s">
        <v>378</v>
      </c>
      <c r="AW15" t="s">
        <v>404</v>
      </c>
      <c r="AX15" t="s">
        <v>452</v>
      </c>
      <c r="BH15" s="23">
        <v>-50</v>
      </c>
      <c r="BP15">
        <v>10000</v>
      </c>
      <c r="BQ15">
        <v>240</v>
      </c>
      <c r="BR15" s="36">
        <v>0.42</v>
      </c>
      <c r="BX15" t="s">
        <v>420</v>
      </c>
      <c r="BY15" t="s">
        <v>96</v>
      </c>
      <c r="BZ15" t="s">
        <v>285</v>
      </c>
      <c r="CI15" t="s">
        <v>418</v>
      </c>
      <c r="CK15" t="s">
        <v>419</v>
      </c>
      <c r="CU15" t="s">
        <v>261</v>
      </c>
      <c r="CY15" s="24" t="s">
        <v>759</v>
      </c>
    </row>
    <row r="16" spans="1:105" x14ac:dyDescent="0.35">
      <c r="A16">
        <v>28</v>
      </c>
      <c r="B16" s="1">
        <v>39</v>
      </c>
      <c r="C16" t="s">
        <v>159</v>
      </c>
      <c r="D16">
        <v>2002</v>
      </c>
      <c r="E16" t="s">
        <v>508</v>
      </c>
      <c r="G16" t="s">
        <v>464</v>
      </c>
      <c r="H16">
        <v>1</v>
      </c>
      <c r="I16" t="s">
        <v>205</v>
      </c>
      <c r="R16" t="s">
        <v>684</v>
      </c>
      <c r="T16" t="s">
        <v>338</v>
      </c>
      <c r="V16" t="s">
        <v>222</v>
      </c>
      <c r="W16" t="s">
        <v>464</v>
      </c>
      <c r="Y16" t="s">
        <v>87</v>
      </c>
      <c r="Z16" s="22"/>
      <c r="AA16" s="22"/>
      <c r="AB16">
        <v>34</v>
      </c>
      <c r="AQ16" t="s">
        <v>88</v>
      </c>
      <c r="AR16" t="s">
        <v>88</v>
      </c>
      <c r="AS16" t="s">
        <v>87</v>
      </c>
      <c r="AW16" t="s">
        <v>464</v>
      </c>
      <c r="AX16" t="s">
        <v>452</v>
      </c>
      <c r="AY16">
        <v>3694</v>
      </c>
      <c r="BA16">
        <v>4989</v>
      </c>
      <c r="BD16" t="s">
        <v>87</v>
      </c>
      <c r="BH16">
        <v>27</v>
      </c>
      <c r="BP16">
        <v>3500</v>
      </c>
      <c r="BX16" t="s">
        <v>686</v>
      </c>
      <c r="BY16" t="s">
        <v>96</v>
      </c>
      <c r="CH16" t="s">
        <v>265</v>
      </c>
      <c r="CM16" s="28" t="s">
        <v>685</v>
      </c>
      <c r="CQ16" t="s">
        <v>687</v>
      </c>
      <c r="CR16" t="s">
        <v>688</v>
      </c>
      <c r="CY16" s="24"/>
    </row>
    <row r="17" spans="1:103" x14ac:dyDescent="0.35">
      <c r="A17">
        <v>37</v>
      </c>
      <c r="B17" s="1">
        <v>40</v>
      </c>
      <c r="C17" t="s">
        <v>690</v>
      </c>
      <c r="D17">
        <v>2007</v>
      </c>
      <c r="E17" t="s">
        <v>692</v>
      </c>
      <c r="G17" t="s">
        <v>587</v>
      </c>
      <c r="H17">
        <v>1</v>
      </c>
      <c r="I17" t="s">
        <v>198</v>
      </c>
      <c r="J17">
        <v>40.021000000000001</v>
      </c>
      <c r="K17">
        <v>-83.016999999999996</v>
      </c>
      <c r="R17" t="s">
        <v>681</v>
      </c>
      <c r="T17" t="s">
        <v>235</v>
      </c>
      <c r="V17" t="s">
        <v>112</v>
      </c>
      <c r="W17" t="s">
        <v>587</v>
      </c>
      <c r="Y17" t="s">
        <v>87</v>
      </c>
      <c r="Z17" s="22">
        <v>0.17</v>
      </c>
      <c r="AA17" s="22">
        <v>0.13900000000000001</v>
      </c>
      <c r="AB17">
        <v>18.3</v>
      </c>
      <c r="AC17" t="s">
        <v>277</v>
      </c>
      <c r="AJ17">
        <v>2.9000000000000001E-2</v>
      </c>
      <c r="AK17">
        <v>1.7999999999999999E-2</v>
      </c>
      <c r="AL17">
        <v>39.200000000000003</v>
      </c>
      <c r="AQ17" t="s">
        <v>88</v>
      </c>
      <c r="AR17" t="s">
        <v>88</v>
      </c>
      <c r="AS17" t="s">
        <v>87</v>
      </c>
      <c r="AW17" t="s">
        <v>587</v>
      </c>
      <c r="AX17" t="s">
        <v>359</v>
      </c>
      <c r="BE17">
        <v>3.96</v>
      </c>
      <c r="BF17">
        <v>1.0900000000000001</v>
      </c>
      <c r="BG17">
        <v>2.87</v>
      </c>
      <c r="BH17">
        <v>13</v>
      </c>
      <c r="BK17">
        <v>0.14000000000000001</v>
      </c>
      <c r="BL17">
        <v>0.06</v>
      </c>
      <c r="BM17">
        <v>7.0000000000000007E-2</v>
      </c>
      <c r="BN17">
        <v>57</v>
      </c>
      <c r="BP17">
        <v>3000</v>
      </c>
      <c r="BX17" t="s">
        <v>691</v>
      </c>
      <c r="BY17" t="s">
        <v>96</v>
      </c>
      <c r="CC17">
        <v>288</v>
      </c>
      <c r="CD17">
        <v>20</v>
      </c>
      <c r="CO17" t="s">
        <v>261</v>
      </c>
      <c r="CY17" s="24"/>
    </row>
    <row r="18" spans="1:103" x14ac:dyDescent="0.35">
      <c r="A18">
        <v>38</v>
      </c>
      <c r="B18" s="1">
        <v>40</v>
      </c>
      <c r="C18" t="s">
        <v>689</v>
      </c>
      <c r="D18">
        <v>2007</v>
      </c>
      <c r="E18" t="s">
        <v>692</v>
      </c>
      <c r="G18" t="s">
        <v>373</v>
      </c>
      <c r="H18">
        <v>1</v>
      </c>
      <c r="I18" t="s">
        <v>198</v>
      </c>
      <c r="J18">
        <v>40.021000000000001</v>
      </c>
      <c r="K18">
        <v>-83.016999999999996</v>
      </c>
      <c r="R18" t="s">
        <v>681</v>
      </c>
      <c r="T18" t="s">
        <v>235</v>
      </c>
      <c r="V18" t="s">
        <v>112</v>
      </c>
      <c r="W18" t="s">
        <v>373</v>
      </c>
      <c r="Y18" t="s">
        <v>87</v>
      </c>
      <c r="Z18" s="22">
        <v>0.192</v>
      </c>
      <c r="AA18" s="22">
        <v>0.14499999999999999</v>
      </c>
      <c r="AB18">
        <v>24.5</v>
      </c>
      <c r="AC18" t="s">
        <v>277</v>
      </c>
      <c r="AJ18">
        <v>4.5999999999999999E-2</v>
      </c>
      <c r="AK18">
        <v>2.3E-2</v>
      </c>
      <c r="AL18">
        <v>50.1</v>
      </c>
      <c r="AQ18" t="s">
        <v>88</v>
      </c>
      <c r="AR18" t="s">
        <v>88</v>
      </c>
      <c r="AS18" t="s">
        <v>87</v>
      </c>
      <c r="AW18" t="s">
        <v>373</v>
      </c>
      <c r="AX18" t="s">
        <v>359</v>
      </c>
      <c r="BE18">
        <v>6.1</v>
      </c>
      <c r="BF18">
        <v>1.62</v>
      </c>
      <c r="BG18">
        <v>4.4800000000000004</v>
      </c>
      <c r="BH18">
        <v>73</v>
      </c>
      <c r="BK18">
        <v>0.48</v>
      </c>
      <c r="BL18">
        <v>0.43</v>
      </c>
      <c r="BM18">
        <v>0.05</v>
      </c>
      <c r="BN18">
        <v>10</v>
      </c>
      <c r="BP18">
        <v>3000</v>
      </c>
      <c r="BX18" t="s">
        <v>691</v>
      </c>
      <c r="BY18" t="s">
        <v>96</v>
      </c>
      <c r="CC18">
        <v>144</v>
      </c>
      <c r="CD18">
        <v>27</v>
      </c>
      <c r="CO18" t="s">
        <v>261</v>
      </c>
      <c r="CY18" s="24"/>
    </row>
    <row r="19" spans="1:103" x14ac:dyDescent="0.35">
      <c r="A19">
        <v>52</v>
      </c>
      <c r="B19" s="1">
        <v>42</v>
      </c>
      <c r="C19" t="s">
        <v>154</v>
      </c>
      <c r="D19">
        <v>2002</v>
      </c>
      <c r="E19" t="s">
        <v>887</v>
      </c>
      <c r="G19" t="s">
        <v>440</v>
      </c>
      <c r="H19">
        <v>2</v>
      </c>
      <c r="I19" t="s">
        <v>202</v>
      </c>
      <c r="O19" t="s">
        <v>441</v>
      </c>
      <c r="Q19">
        <v>0</v>
      </c>
      <c r="R19" t="s">
        <v>229</v>
      </c>
      <c r="T19" t="s">
        <v>338</v>
      </c>
      <c r="V19" t="s">
        <v>222</v>
      </c>
      <c r="W19" t="s">
        <v>440</v>
      </c>
      <c r="Y19" t="s">
        <v>87</v>
      </c>
      <c r="Z19" s="22">
        <v>5.0999999999999996</v>
      </c>
      <c r="AA19" s="22">
        <v>4.5999999999999996</v>
      </c>
      <c r="AB19" s="36">
        <v>9.8000000000000007</v>
      </c>
      <c r="AC19" t="s">
        <v>277</v>
      </c>
      <c r="AF19">
        <v>3</v>
      </c>
      <c r="AI19">
        <v>1.9</v>
      </c>
      <c r="AJ19">
        <v>4.17</v>
      </c>
      <c r="AK19">
        <v>4.5999999999999996</v>
      </c>
      <c r="AL19" s="36">
        <v>-10.31</v>
      </c>
      <c r="AO19">
        <v>1.6</v>
      </c>
      <c r="AP19">
        <v>1.5</v>
      </c>
      <c r="AQ19" t="s">
        <v>88</v>
      </c>
      <c r="AR19" t="s">
        <v>88</v>
      </c>
      <c r="AS19" t="s">
        <v>88</v>
      </c>
      <c r="AV19" t="s">
        <v>378</v>
      </c>
      <c r="AW19" t="s">
        <v>440</v>
      </c>
      <c r="AX19" t="s">
        <v>523</v>
      </c>
      <c r="BD19" t="s">
        <v>87</v>
      </c>
      <c r="BE19" s="23">
        <v>372.90613718411555</v>
      </c>
      <c r="BF19" s="23">
        <v>341.28158844765341</v>
      </c>
      <c r="BG19" s="39">
        <v>31.624548736462145</v>
      </c>
      <c r="BH19" s="36">
        <v>8.48</v>
      </c>
      <c r="BK19">
        <v>305.7039711191336</v>
      </c>
      <c r="BL19">
        <v>341.28158844765341</v>
      </c>
      <c r="BM19" s="36">
        <v>-35.577617328519807</v>
      </c>
      <c r="BN19" s="36">
        <v>-11.64</v>
      </c>
      <c r="BP19">
        <v>277</v>
      </c>
      <c r="BT19">
        <v>1</v>
      </c>
      <c r="BU19">
        <v>0.3</v>
      </c>
      <c r="BX19" t="s">
        <v>636</v>
      </c>
      <c r="BY19" t="s">
        <v>96</v>
      </c>
      <c r="CC19">
        <v>36.24</v>
      </c>
      <c r="CD19">
        <v>73</v>
      </c>
      <c r="CE19">
        <v>2.8</v>
      </c>
      <c r="CH19" t="s">
        <v>442</v>
      </c>
      <c r="CI19" t="s">
        <v>265</v>
      </c>
      <c r="CJ19">
        <v>800</v>
      </c>
      <c r="CV19" t="s">
        <v>261</v>
      </c>
      <c r="CY19" s="24" t="s">
        <v>889</v>
      </c>
    </row>
    <row r="20" spans="1:103" x14ac:dyDescent="0.35">
      <c r="A20">
        <v>53</v>
      </c>
      <c r="B20" s="1">
        <v>42</v>
      </c>
      <c r="C20" t="s">
        <v>154</v>
      </c>
      <c r="D20">
        <v>2002</v>
      </c>
      <c r="E20" t="s">
        <v>886</v>
      </c>
      <c r="G20" t="s">
        <v>440</v>
      </c>
      <c r="H20">
        <v>2</v>
      </c>
      <c r="I20" t="s">
        <v>202</v>
      </c>
      <c r="O20" t="s">
        <v>441</v>
      </c>
      <c r="Q20">
        <v>0</v>
      </c>
      <c r="R20" t="s">
        <v>229</v>
      </c>
      <c r="T20" t="s">
        <v>338</v>
      </c>
      <c r="V20" t="s">
        <v>222</v>
      </c>
      <c r="W20" t="s">
        <v>440</v>
      </c>
      <c r="Y20" t="s">
        <v>87</v>
      </c>
      <c r="Z20" s="22">
        <v>4.5999999999999996</v>
      </c>
      <c r="AA20" s="22">
        <v>4.3499999999999996</v>
      </c>
      <c r="AB20" s="36">
        <v>5.43</v>
      </c>
      <c r="AC20" t="s">
        <v>277</v>
      </c>
      <c r="AF20">
        <v>1.9</v>
      </c>
      <c r="AI20">
        <v>1.6</v>
      </c>
      <c r="AJ20">
        <v>4.5999999999999996</v>
      </c>
      <c r="AK20">
        <v>3.58</v>
      </c>
      <c r="AL20" s="36">
        <v>22.17</v>
      </c>
      <c r="AO20">
        <v>1.5</v>
      </c>
      <c r="AP20">
        <v>1.2</v>
      </c>
      <c r="AQ20" t="s">
        <v>88</v>
      </c>
      <c r="AR20" t="s">
        <v>88</v>
      </c>
      <c r="AS20" t="s">
        <v>88</v>
      </c>
      <c r="AV20" t="s">
        <v>378</v>
      </c>
      <c r="AW20" t="s">
        <v>440</v>
      </c>
      <c r="AX20" t="s">
        <v>523</v>
      </c>
      <c r="BD20" t="s">
        <v>87</v>
      </c>
      <c r="BE20" s="23">
        <v>315.11666666666667</v>
      </c>
      <c r="BF20" s="23">
        <v>298.08333333333331</v>
      </c>
      <c r="BG20" s="39">
        <v>17.03333333333336</v>
      </c>
      <c r="BH20" s="36">
        <v>5.41</v>
      </c>
      <c r="BK20">
        <v>315.11666666666667</v>
      </c>
      <c r="BL20">
        <v>248.20000000000002</v>
      </c>
      <c r="BM20" s="36">
        <v>66.916666666666657</v>
      </c>
      <c r="BN20" s="36">
        <v>21.24</v>
      </c>
      <c r="BP20">
        <v>300</v>
      </c>
      <c r="BT20">
        <v>1</v>
      </c>
      <c r="BU20">
        <v>0.8</v>
      </c>
      <c r="BX20" t="s">
        <v>637</v>
      </c>
      <c r="BY20" t="s">
        <v>285</v>
      </c>
      <c r="CC20">
        <v>104.64</v>
      </c>
      <c r="CD20">
        <v>68.260000000000005</v>
      </c>
      <c r="CE20">
        <v>4.8</v>
      </c>
      <c r="CH20" t="s">
        <v>442</v>
      </c>
      <c r="CI20" t="s">
        <v>265</v>
      </c>
      <c r="CJ20">
        <v>800</v>
      </c>
      <c r="CV20" t="s">
        <v>261</v>
      </c>
      <c r="CY20" s="24" t="s">
        <v>889</v>
      </c>
    </row>
    <row r="21" spans="1:103" x14ac:dyDescent="0.35">
      <c r="A21">
        <v>54</v>
      </c>
      <c r="B21" s="1">
        <v>42</v>
      </c>
      <c r="C21" t="s">
        <v>154</v>
      </c>
      <c r="D21">
        <v>2002</v>
      </c>
      <c r="E21" t="s">
        <v>888</v>
      </c>
      <c r="G21" t="s">
        <v>440</v>
      </c>
      <c r="H21">
        <v>2</v>
      </c>
      <c r="I21" t="s">
        <v>202</v>
      </c>
      <c r="O21" t="s">
        <v>441</v>
      </c>
      <c r="Q21">
        <v>0</v>
      </c>
      <c r="R21" t="s">
        <v>229</v>
      </c>
      <c r="T21" t="s">
        <v>338</v>
      </c>
      <c r="V21" t="s">
        <v>222</v>
      </c>
      <c r="W21" t="s">
        <v>440</v>
      </c>
      <c r="Y21" t="s">
        <v>87</v>
      </c>
      <c r="Z21" s="22">
        <v>4.3499999999999996</v>
      </c>
      <c r="AA21" s="22"/>
      <c r="AC21" t="s">
        <v>277</v>
      </c>
      <c r="AF21">
        <v>1.6</v>
      </c>
      <c r="AJ21">
        <v>3.58</v>
      </c>
      <c r="AO21">
        <v>1.2</v>
      </c>
      <c r="AQ21" t="s">
        <v>88</v>
      </c>
      <c r="AR21" t="s">
        <v>88</v>
      </c>
      <c r="AS21" t="s">
        <v>88</v>
      </c>
      <c r="AV21" t="s">
        <v>378</v>
      </c>
      <c r="AW21" t="s">
        <v>440</v>
      </c>
      <c r="AX21" t="s">
        <v>523</v>
      </c>
      <c r="BD21" t="s">
        <v>87</v>
      </c>
      <c r="BE21" s="23">
        <v>199.609375</v>
      </c>
      <c r="BF21" s="23">
        <v>210.20089285714283</v>
      </c>
      <c r="BG21" s="39">
        <v>-10.591517857142833</v>
      </c>
      <c r="BH21" s="36">
        <v>-5.31</v>
      </c>
      <c r="BK21">
        <v>166.20535714285714</v>
      </c>
      <c r="BL21">
        <v>146.65178571428572</v>
      </c>
      <c r="BM21" s="36">
        <v>19.553571428571416</v>
      </c>
      <c r="BN21" s="36">
        <v>11.76</v>
      </c>
      <c r="BP21">
        <v>448</v>
      </c>
      <c r="BT21">
        <v>1</v>
      </c>
      <c r="BU21">
        <v>0.3</v>
      </c>
      <c r="BX21" t="s">
        <v>636</v>
      </c>
      <c r="BY21" t="s">
        <v>96</v>
      </c>
      <c r="CC21">
        <v>58.56</v>
      </c>
      <c r="CD21">
        <v>46.36</v>
      </c>
      <c r="CE21" t="s">
        <v>443</v>
      </c>
      <c r="CH21" t="s">
        <v>442</v>
      </c>
      <c r="CI21" t="s">
        <v>265</v>
      </c>
      <c r="CJ21">
        <v>700</v>
      </c>
      <c r="CV21" t="s">
        <v>261</v>
      </c>
      <c r="CY21" s="24" t="s">
        <v>889</v>
      </c>
    </row>
    <row r="22" spans="1:103" x14ac:dyDescent="0.35">
      <c r="A22">
        <v>92</v>
      </c>
      <c r="B22" s="1">
        <v>45</v>
      </c>
      <c r="C22" t="s">
        <v>171</v>
      </c>
      <c r="D22">
        <v>2010</v>
      </c>
      <c r="E22" t="s">
        <v>268</v>
      </c>
      <c r="G22" t="s">
        <v>409</v>
      </c>
      <c r="H22">
        <v>3</v>
      </c>
      <c r="I22" t="s">
        <v>209</v>
      </c>
      <c r="O22" t="s">
        <v>717</v>
      </c>
      <c r="R22" t="s">
        <v>723</v>
      </c>
      <c r="T22" t="s">
        <v>354</v>
      </c>
      <c r="W22" t="s">
        <v>409</v>
      </c>
      <c r="Y22" t="s">
        <v>87</v>
      </c>
      <c r="Z22" s="22">
        <v>0.31</v>
      </c>
      <c r="AA22" s="22">
        <v>0.16</v>
      </c>
      <c r="AB22" s="36">
        <v>48.39</v>
      </c>
      <c r="AC22" t="s">
        <v>277</v>
      </c>
      <c r="AQ22" t="s">
        <v>88</v>
      </c>
      <c r="AR22" t="s">
        <v>88</v>
      </c>
      <c r="AS22" t="s">
        <v>87</v>
      </c>
      <c r="AW22" t="s">
        <v>409</v>
      </c>
      <c r="AX22" t="s">
        <v>722</v>
      </c>
      <c r="BD22" t="s">
        <v>83</v>
      </c>
      <c r="BE22">
        <v>11.2</v>
      </c>
      <c r="BF22" s="36">
        <v>6.2999999999999989</v>
      </c>
      <c r="BG22">
        <v>4.9000000000000004</v>
      </c>
      <c r="BH22">
        <v>43.4</v>
      </c>
      <c r="BP22">
        <v>8800</v>
      </c>
      <c r="BT22">
        <v>2</v>
      </c>
      <c r="BU22" t="s">
        <v>719</v>
      </c>
      <c r="BX22" t="s">
        <v>720</v>
      </c>
      <c r="BY22" t="s">
        <v>96</v>
      </c>
      <c r="BZ22" t="s">
        <v>721</v>
      </c>
      <c r="CC22" t="s">
        <v>718</v>
      </c>
      <c r="CK22" t="s">
        <v>299</v>
      </c>
      <c r="CY22" s="24" t="s">
        <v>894</v>
      </c>
    </row>
    <row r="23" spans="1:103" x14ac:dyDescent="0.35">
      <c r="A23">
        <v>93</v>
      </c>
      <c r="B23" s="1">
        <v>45</v>
      </c>
      <c r="C23" t="s">
        <v>171</v>
      </c>
      <c r="D23">
        <v>2010</v>
      </c>
      <c r="E23" t="s">
        <v>269</v>
      </c>
      <c r="G23" t="s">
        <v>409</v>
      </c>
      <c r="H23">
        <v>3</v>
      </c>
      <c r="I23" t="s">
        <v>209</v>
      </c>
      <c r="O23" t="s">
        <v>717</v>
      </c>
      <c r="R23" t="s">
        <v>723</v>
      </c>
      <c r="T23" t="s">
        <v>354</v>
      </c>
      <c r="W23" t="s">
        <v>409</v>
      </c>
      <c r="Y23" t="s">
        <v>87</v>
      </c>
      <c r="Z23" s="22">
        <v>0.39</v>
      </c>
      <c r="AA23" s="22">
        <v>0.18</v>
      </c>
      <c r="AB23" s="36">
        <v>53.85</v>
      </c>
      <c r="AC23" t="s">
        <v>277</v>
      </c>
      <c r="AQ23" t="s">
        <v>88</v>
      </c>
      <c r="AR23" t="s">
        <v>88</v>
      </c>
      <c r="AS23" t="s">
        <v>87</v>
      </c>
      <c r="AW23" t="s">
        <v>409</v>
      </c>
      <c r="AX23" t="s">
        <v>722</v>
      </c>
      <c r="BD23" t="s">
        <v>83</v>
      </c>
      <c r="BE23">
        <v>10</v>
      </c>
      <c r="BF23" s="36">
        <v>5.6</v>
      </c>
      <c r="BG23">
        <v>4.4000000000000004</v>
      </c>
      <c r="BH23">
        <v>44.5</v>
      </c>
      <c r="BP23">
        <v>8800</v>
      </c>
      <c r="BT23">
        <v>2</v>
      </c>
      <c r="BU23" t="s">
        <v>719</v>
      </c>
      <c r="BX23" t="s">
        <v>720</v>
      </c>
      <c r="BY23" t="s">
        <v>96</v>
      </c>
      <c r="BZ23" t="s">
        <v>721</v>
      </c>
      <c r="CC23" t="s">
        <v>718</v>
      </c>
      <c r="CK23" t="s">
        <v>299</v>
      </c>
      <c r="CY23" s="24" t="s">
        <v>894</v>
      </c>
    </row>
    <row r="24" spans="1:103" x14ac:dyDescent="0.35">
      <c r="A24">
        <v>94</v>
      </c>
      <c r="B24" s="1">
        <v>45</v>
      </c>
      <c r="C24" t="s">
        <v>171</v>
      </c>
      <c r="D24">
        <v>2010</v>
      </c>
      <c r="E24" t="s">
        <v>270</v>
      </c>
      <c r="G24" t="s">
        <v>409</v>
      </c>
      <c r="H24">
        <v>3</v>
      </c>
      <c r="I24" t="s">
        <v>209</v>
      </c>
      <c r="O24" t="s">
        <v>717</v>
      </c>
      <c r="R24" t="s">
        <v>723</v>
      </c>
      <c r="T24" t="s">
        <v>354</v>
      </c>
      <c r="W24" t="s">
        <v>409</v>
      </c>
      <c r="Y24" t="s">
        <v>87</v>
      </c>
      <c r="Z24" s="22">
        <v>0.28000000000000003</v>
      </c>
      <c r="AA24" s="22">
        <v>0.14000000000000001</v>
      </c>
      <c r="AB24" s="36">
        <v>50</v>
      </c>
      <c r="AC24" t="s">
        <v>277</v>
      </c>
      <c r="AQ24" t="s">
        <v>88</v>
      </c>
      <c r="AR24" t="s">
        <v>88</v>
      </c>
      <c r="AS24" t="s">
        <v>87</v>
      </c>
      <c r="AW24" t="s">
        <v>409</v>
      </c>
      <c r="AX24" t="s">
        <v>722</v>
      </c>
      <c r="BD24" t="s">
        <v>83</v>
      </c>
      <c r="BE24">
        <v>6.9</v>
      </c>
      <c r="BF24" s="36">
        <v>3.4000000000000004</v>
      </c>
      <c r="BG24">
        <v>3.5</v>
      </c>
      <c r="BH24">
        <v>50.9</v>
      </c>
      <c r="BP24">
        <v>8800</v>
      </c>
      <c r="BT24">
        <v>2</v>
      </c>
      <c r="BU24" t="s">
        <v>719</v>
      </c>
      <c r="BX24" t="s">
        <v>720</v>
      </c>
      <c r="BY24" t="s">
        <v>96</v>
      </c>
      <c r="BZ24" t="s">
        <v>721</v>
      </c>
      <c r="CC24" t="s">
        <v>718</v>
      </c>
      <c r="CK24" t="s">
        <v>299</v>
      </c>
      <c r="CY24" s="24" t="s">
        <v>894</v>
      </c>
    </row>
    <row r="25" spans="1:103" x14ac:dyDescent="0.35">
      <c r="A25">
        <v>95</v>
      </c>
      <c r="B25" s="1">
        <v>45</v>
      </c>
      <c r="C25" t="s">
        <v>171</v>
      </c>
      <c r="D25">
        <v>2010</v>
      </c>
      <c r="E25" t="s">
        <v>271</v>
      </c>
      <c r="G25" t="s">
        <v>409</v>
      </c>
      <c r="H25">
        <v>3</v>
      </c>
      <c r="I25" t="s">
        <v>209</v>
      </c>
      <c r="O25" t="s">
        <v>717</v>
      </c>
      <c r="R25" t="s">
        <v>723</v>
      </c>
      <c r="T25" t="s">
        <v>354</v>
      </c>
      <c r="W25" t="s">
        <v>409</v>
      </c>
      <c r="Y25" t="s">
        <v>87</v>
      </c>
      <c r="Z25" s="22">
        <v>0.37</v>
      </c>
      <c r="AA25" s="22">
        <v>0.21</v>
      </c>
      <c r="AB25" s="36">
        <v>43.24</v>
      </c>
      <c r="AC25" t="s">
        <v>277</v>
      </c>
      <c r="AQ25" t="s">
        <v>88</v>
      </c>
      <c r="AR25" t="s">
        <v>88</v>
      </c>
      <c r="AS25" t="s">
        <v>87</v>
      </c>
      <c r="AW25" t="s">
        <v>409</v>
      </c>
      <c r="AX25" t="s">
        <v>722</v>
      </c>
      <c r="BD25" t="s">
        <v>83</v>
      </c>
      <c r="BE25">
        <v>7.9</v>
      </c>
      <c r="BF25" s="36">
        <v>4.1000000000000005</v>
      </c>
      <c r="BG25">
        <v>3.8</v>
      </c>
      <c r="BH25">
        <v>48.2</v>
      </c>
      <c r="BP25">
        <v>8800</v>
      </c>
      <c r="BT25">
        <v>2</v>
      </c>
      <c r="BU25" t="s">
        <v>719</v>
      </c>
      <c r="BX25" t="s">
        <v>720</v>
      </c>
      <c r="BY25" t="s">
        <v>96</v>
      </c>
      <c r="BZ25" t="s">
        <v>721</v>
      </c>
      <c r="CC25" t="s">
        <v>718</v>
      </c>
      <c r="CK25" t="s">
        <v>299</v>
      </c>
      <c r="CY25" s="24" t="s">
        <v>894</v>
      </c>
    </row>
    <row r="26" spans="1:103" x14ac:dyDescent="0.35">
      <c r="A26">
        <v>96</v>
      </c>
      <c r="B26" s="1">
        <v>46</v>
      </c>
      <c r="C26" t="s">
        <v>153</v>
      </c>
      <c r="D26">
        <v>1985</v>
      </c>
      <c r="E26" t="s">
        <v>436</v>
      </c>
      <c r="G26" t="s">
        <v>435</v>
      </c>
      <c r="H26">
        <v>1</v>
      </c>
      <c r="I26" t="s">
        <v>69</v>
      </c>
      <c r="O26" t="s">
        <v>310</v>
      </c>
      <c r="R26" t="s">
        <v>229</v>
      </c>
      <c r="T26" t="s">
        <v>245</v>
      </c>
      <c r="W26" t="s">
        <v>435</v>
      </c>
      <c r="Y26" t="s">
        <v>87</v>
      </c>
      <c r="Z26" s="22">
        <v>6.17</v>
      </c>
      <c r="AA26" s="22">
        <v>6.4</v>
      </c>
      <c r="AB26" s="36">
        <v>-3.77</v>
      </c>
      <c r="AC26" t="s">
        <v>277</v>
      </c>
      <c r="AD26" s="22">
        <v>3.82</v>
      </c>
      <c r="AE26" s="22">
        <v>16.8</v>
      </c>
      <c r="AQ26" t="s">
        <v>88</v>
      </c>
      <c r="AR26" t="s">
        <v>88</v>
      </c>
      <c r="AS26" t="s">
        <v>87</v>
      </c>
      <c r="AW26" t="s">
        <v>435</v>
      </c>
      <c r="AX26" t="s">
        <v>668</v>
      </c>
      <c r="AY26" s="33">
        <v>532535</v>
      </c>
      <c r="BA26" s="33">
        <v>459170</v>
      </c>
      <c r="BC26" s="22"/>
      <c r="BD26" s="22"/>
      <c r="BE26" s="39">
        <v>32.857409500000003</v>
      </c>
      <c r="BF26" s="39">
        <v>29.386880000000001</v>
      </c>
      <c r="BG26" s="39">
        <f>BE26-BF26</f>
        <v>3.4705295000000014</v>
      </c>
      <c r="BH26" s="36">
        <v>10.56</v>
      </c>
      <c r="BP26">
        <v>100000</v>
      </c>
      <c r="BT26">
        <v>1</v>
      </c>
      <c r="BU26">
        <v>0.64</v>
      </c>
      <c r="BX26" t="s">
        <v>311</v>
      </c>
      <c r="BY26" t="s">
        <v>96</v>
      </c>
      <c r="BZ26" t="s">
        <v>285</v>
      </c>
      <c r="CI26" t="s">
        <v>438</v>
      </c>
      <c r="CO26" t="s">
        <v>261</v>
      </c>
      <c r="CQ26" t="s">
        <v>439</v>
      </c>
      <c r="CY26" s="24" t="s">
        <v>885</v>
      </c>
    </row>
    <row r="27" spans="1:103" x14ac:dyDescent="0.35">
      <c r="A27">
        <v>97</v>
      </c>
      <c r="B27" s="1">
        <v>46</v>
      </c>
      <c r="C27" t="s">
        <v>153</v>
      </c>
      <c r="D27">
        <v>1985</v>
      </c>
      <c r="E27" t="s">
        <v>437</v>
      </c>
      <c r="G27" t="s">
        <v>435</v>
      </c>
      <c r="H27">
        <v>1</v>
      </c>
      <c r="I27" t="s">
        <v>69</v>
      </c>
      <c r="O27" t="s">
        <v>310</v>
      </c>
      <c r="R27" t="s">
        <v>229</v>
      </c>
      <c r="T27" t="s">
        <v>245</v>
      </c>
      <c r="W27" t="s">
        <v>435</v>
      </c>
      <c r="Y27" t="s">
        <v>87</v>
      </c>
      <c r="Z27" s="22">
        <v>6.4</v>
      </c>
      <c r="AA27" s="22">
        <v>5.25</v>
      </c>
      <c r="AB27" s="36">
        <v>17.97</v>
      </c>
      <c r="AC27" t="s">
        <v>277</v>
      </c>
      <c r="AD27" s="22">
        <v>3.9</v>
      </c>
      <c r="AE27" s="22">
        <v>9.6</v>
      </c>
      <c r="AQ27" t="s">
        <v>88</v>
      </c>
      <c r="AR27" t="s">
        <v>88</v>
      </c>
      <c r="AS27" t="s">
        <v>87</v>
      </c>
      <c r="AW27" t="s">
        <v>435</v>
      </c>
      <c r="AX27" t="s">
        <v>668</v>
      </c>
      <c r="AY27" s="33">
        <v>459170</v>
      </c>
      <c r="BA27">
        <v>454425</v>
      </c>
      <c r="BC27" s="22"/>
      <c r="BD27" s="22"/>
      <c r="BE27" s="39">
        <v>26.715345454545453</v>
      </c>
      <c r="BF27" s="39">
        <v>21.688465909090908</v>
      </c>
      <c r="BG27" s="39">
        <f>BE27-BF27</f>
        <v>5.0268795454545447</v>
      </c>
      <c r="BH27" s="36">
        <v>18.809999999999999</v>
      </c>
      <c r="BP27">
        <v>110000</v>
      </c>
      <c r="BT27">
        <v>1</v>
      </c>
      <c r="BU27">
        <v>1.52</v>
      </c>
      <c r="BX27" t="s">
        <v>311</v>
      </c>
      <c r="BY27" t="s">
        <v>96</v>
      </c>
      <c r="BZ27" t="s">
        <v>285</v>
      </c>
      <c r="CI27" t="s">
        <v>438</v>
      </c>
      <c r="CO27" t="s">
        <v>261</v>
      </c>
      <c r="CQ27" t="s">
        <v>439</v>
      </c>
      <c r="CY27" s="24" t="s">
        <v>885</v>
      </c>
    </row>
    <row r="28" spans="1:103" x14ac:dyDescent="0.35">
      <c r="A28">
        <v>103</v>
      </c>
      <c r="B28" s="1">
        <v>47</v>
      </c>
      <c r="C28" t="s">
        <v>162</v>
      </c>
      <c r="D28">
        <v>2009</v>
      </c>
      <c r="E28" t="s">
        <v>470</v>
      </c>
      <c r="G28" s="30" t="s">
        <v>421</v>
      </c>
      <c r="H28">
        <v>1</v>
      </c>
      <c r="I28" t="s">
        <v>190</v>
      </c>
      <c r="J28">
        <v>60.417000000000002</v>
      </c>
      <c r="K28">
        <v>24.367000000000001</v>
      </c>
      <c r="O28" s="29" t="s">
        <v>304</v>
      </c>
      <c r="R28" t="s">
        <v>220</v>
      </c>
      <c r="S28" s="24" t="s">
        <v>386</v>
      </c>
      <c r="U28">
        <v>96</v>
      </c>
      <c r="V28" t="s">
        <v>222</v>
      </c>
      <c r="W28" s="30" t="s">
        <v>421</v>
      </c>
      <c r="X28" t="s">
        <v>87</v>
      </c>
      <c r="Y28" t="s">
        <v>87</v>
      </c>
      <c r="Z28" s="22">
        <v>0.81</v>
      </c>
      <c r="AA28" s="22"/>
      <c r="AC28" s="22" t="s">
        <v>107</v>
      </c>
      <c r="AJ28">
        <v>8.6999999999999994E-2</v>
      </c>
      <c r="AQ28" t="s">
        <v>88</v>
      </c>
      <c r="AR28" t="s">
        <v>88</v>
      </c>
      <c r="AS28" t="s">
        <v>87</v>
      </c>
      <c r="AV28" t="s">
        <v>231</v>
      </c>
      <c r="AW28" s="30" t="s">
        <v>421</v>
      </c>
      <c r="AX28" t="s">
        <v>757</v>
      </c>
      <c r="BG28">
        <v>4.5</v>
      </c>
      <c r="BH28">
        <v>67</v>
      </c>
      <c r="BM28">
        <v>0.43</v>
      </c>
      <c r="BN28">
        <v>60</v>
      </c>
      <c r="BP28">
        <v>6000</v>
      </c>
      <c r="BQ28">
        <v>12</v>
      </c>
      <c r="BR28" s="36">
        <v>5</v>
      </c>
      <c r="BU28">
        <v>0.7</v>
      </c>
      <c r="BX28" t="s">
        <v>756</v>
      </c>
      <c r="BY28" t="s">
        <v>96</v>
      </c>
      <c r="CC28" t="s">
        <v>753</v>
      </c>
      <c r="CG28" t="s">
        <v>755</v>
      </c>
      <c r="CI28" t="s">
        <v>760</v>
      </c>
      <c r="CK28" t="s">
        <v>754</v>
      </c>
      <c r="CQ28" t="s">
        <v>758</v>
      </c>
      <c r="CX28" t="s">
        <v>821</v>
      </c>
      <c r="CY28" s="24" t="s">
        <v>759</v>
      </c>
    </row>
    <row r="29" spans="1:103" x14ac:dyDescent="0.35">
      <c r="A29">
        <v>125</v>
      </c>
      <c r="B29" s="1">
        <v>50</v>
      </c>
      <c r="C29" t="s">
        <v>135</v>
      </c>
      <c r="D29">
        <v>2013</v>
      </c>
      <c r="E29" s="26" t="s">
        <v>520</v>
      </c>
      <c r="G29" t="s">
        <v>529</v>
      </c>
      <c r="H29">
        <v>2</v>
      </c>
      <c r="I29" t="s">
        <v>196</v>
      </c>
      <c r="J29">
        <v>39.363999999999997</v>
      </c>
      <c r="K29">
        <v>-0.34100000000000003</v>
      </c>
      <c r="M29" t="s">
        <v>535</v>
      </c>
      <c r="N29">
        <v>534</v>
      </c>
      <c r="O29" t="s">
        <v>521</v>
      </c>
      <c r="R29" t="s">
        <v>522</v>
      </c>
      <c r="T29" t="s">
        <v>354</v>
      </c>
      <c r="V29" t="s">
        <v>112</v>
      </c>
      <c r="W29" t="s">
        <v>529</v>
      </c>
      <c r="Y29" t="s">
        <v>87</v>
      </c>
      <c r="Z29" s="22">
        <v>0.36099999999999999</v>
      </c>
      <c r="AA29" s="22">
        <v>0.14299999999999999</v>
      </c>
      <c r="AB29" s="36">
        <v>60.39</v>
      </c>
      <c r="AC29" t="s">
        <v>277</v>
      </c>
      <c r="AF29">
        <v>0.159</v>
      </c>
      <c r="AJ29">
        <v>0.10100000000000001</v>
      </c>
      <c r="AK29">
        <v>0.02</v>
      </c>
      <c r="AL29" s="36">
        <v>80.2</v>
      </c>
      <c r="AQ29" t="s">
        <v>88</v>
      </c>
      <c r="AR29" t="s">
        <v>88</v>
      </c>
      <c r="AS29" t="s">
        <v>88</v>
      </c>
      <c r="AT29">
        <v>7.84</v>
      </c>
      <c r="AU29">
        <v>7.5</v>
      </c>
      <c r="AW29" t="s">
        <v>529</v>
      </c>
      <c r="AX29" t="s">
        <v>536</v>
      </c>
      <c r="AY29" t="s">
        <v>538</v>
      </c>
      <c r="BH29">
        <v>65</v>
      </c>
      <c r="BI29">
        <v>101.6</v>
      </c>
      <c r="BP29">
        <v>48956</v>
      </c>
      <c r="BY29" t="s">
        <v>96</v>
      </c>
      <c r="CD29" s="28" t="s">
        <v>539</v>
      </c>
      <c r="CE29">
        <v>2.08</v>
      </c>
      <c r="CH29" t="s">
        <v>104</v>
      </c>
      <c r="CI29" t="s">
        <v>537</v>
      </c>
      <c r="CK29" t="s">
        <v>534</v>
      </c>
      <c r="CQ29" t="s">
        <v>550</v>
      </c>
      <c r="CR29" t="s">
        <v>877</v>
      </c>
      <c r="CU29" t="s">
        <v>88</v>
      </c>
      <c r="CV29" t="s">
        <v>88</v>
      </c>
      <c r="CY29" s="24" t="s">
        <v>880</v>
      </c>
    </row>
    <row r="30" spans="1:103" x14ac:dyDescent="0.35">
      <c r="A30">
        <v>126</v>
      </c>
      <c r="B30" s="1">
        <v>50</v>
      </c>
      <c r="C30" t="s">
        <v>135</v>
      </c>
      <c r="D30">
        <v>2013</v>
      </c>
      <c r="E30" s="27" t="s">
        <v>544</v>
      </c>
      <c r="G30" t="s">
        <v>529</v>
      </c>
      <c r="H30">
        <v>2</v>
      </c>
      <c r="I30" t="s">
        <v>196</v>
      </c>
      <c r="J30">
        <v>39.363999999999997</v>
      </c>
      <c r="K30">
        <v>-0.34100000000000003</v>
      </c>
      <c r="M30" t="s">
        <v>535</v>
      </c>
      <c r="N30">
        <v>534</v>
      </c>
      <c r="O30" t="s">
        <v>521</v>
      </c>
      <c r="R30" t="s">
        <v>522</v>
      </c>
      <c r="T30" t="s">
        <v>354</v>
      </c>
      <c r="V30" t="s">
        <v>112</v>
      </c>
      <c r="W30" t="s">
        <v>529</v>
      </c>
      <c r="Y30" t="s">
        <v>87</v>
      </c>
      <c r="Z30" s="22"/>
      <c r="AA30" s="22"/>
      <c r="AC30" t="s">
        <v>277</v>
      </c>
      <c r="AQ30" t="s">
        <v>88</v>
      </c>
      <c r="AR30" t="s">
        <v>88</v>
      </c>
      <c r="AS30" t="s">
        <v>88</v>
      </c>
      <c r="AW30" t="s">
        <v>529</v>
      </c>
      <c r="AX30" t="s">
        <v>536</v>
      </c>
      <c r="AY30" t="s">
        <v>538</v>
      </c>
      <c r="BH30">
        <v>14</v>
      </c>
      <c r="BP30">
        <v>13509</v>
      </c>
      <c r="BY30" t="s">
        <v>96</v>
      </c>
      <c r="CD30" s="28" t="s">
        <v>539</v>
      </c>
      <c r="CE30">
        <v>0.6</v>
      </c>
      <c r="CH30" t="s">
        <v>104</v>
      </c>
      <c r="CI30" t="s">
        <v>537</v>
      </c>
      <c r="CK30" t="s">
        <v>534</v>
      </c>
      <c r="CQ30" t="s">
        <v>550</v>
      </c>
      <c r="CR30" t="s">
        <v>540</v>
      </c>
      <c r="CU30" t="s">
        <v>88</v>
      </c>
      <c r="CV30" t="s">
        <v>88</v>
      </c>
      <c r="CY30" s="24"/>
    </row>
    <row r="31" spans="1:103" x14ac:dyDescent="0.35">
      <c r="A31">
        <v>127</v>
      </c>
      <c r="B31" s="1">
        <v>50</v>
      </c>
      <c r="C31" t="s">
        <v>135</v>
      </c>
      <c r="D31">
        <v>2013</v>
      </c>
      <c r="E31" s="27" t="s">
        <v>545</v>
      </c>
      <c r="G31" t="s">
        <v>529</v>
      </c>
      <c r="H31">
        <v>2</v>
      </c>
      <c r="I31" t="s">
        <v>196</v>
      </c>
      <c r="J31">
        <v>39.363999999999997</v>
      </c>
      <c r="K31">
        <v>-0.34100000000000003</v>
      </c>
      <c r="M31" t="s">
        <v>535</v>
      </c>
      <c r="N31">
        <v>534</v>
      </c>
      <c r="O31" t="s">
        <v>521</v>
      </c>
      <c r="R31" t="s">
        <v>522</v>
      </c>
      <c r="T31" t="s">
        <v>354</v>
      </c>
      <c r="V31" t="s">
        <v>112</v>
      </c>
      <c r="W31" t="s">
        <v>529</v>
      </c>
      <c r="Y31" t="s">
        <v>87</v>
      </c>
      <c r="Z31" s="22"/>
      <c r="AA31" s="22"/>
      <c r="AC31" t="s">
        <v>277</v>
      </c>
      <c r="AQ31" t="s">
        <v>88</v>
      </c>
      <c r="AR31" t="s">
        <v>88</v>
      </c>
      <c r="AS31" t="s">
        <v>88</v>
      </c>
      <c r="AW31" t="s">
        <v>529</v>
      </c>
      <c r="AX31" t="s">
        <v>359</v>
      </c>
      <c r="BH31">
        <v>33</v>
      </c>
      <c r="BP31">
        <v>18240</v>
      </c>
      <c r="BY31" t="s">
        <v>96</v>
      </c>
      <c r="CE31">
        <v>0.7</v>
      </c>
      <c r="CH31" t="s">
        <v>104</v>
      </c>
      <c r="CI31" t="s">
        <v>537</v>
      </c>
      <c r="CK31" t="s">
        <v>534</v>
      </c>
      <c r="CQ31" t="s">
        <v>550</v>
      </c>
      <c r="CR31" t="s">
        <v>541</v>
      </c>
      <c r="CU31" t="s">
        <v>88</v>
      </c>
      <c r="CV31" t="s">
        <v>88</v>
      </c>
      <c r="CY31" s="24"/>
    </row>
    <row r="32" spans="1:103" x14ac:dyDescent="0.35">
      <c r="A32">
        <v>128</v>
      </c>
      <c r="B32" s="1">
        <v>50</v>
      </c>
      <c r="C32" t="s">
        <v>135</v>
      </c>
      <c r="D32">
        <v>2013</v>
      </c>
      <c r="E32" s="27" t="s">
        <v>546</v>
      </c>
      <c r="G32" t="s">
        <v>529</v>
      </c>
      <c r="H32">
        <v>2</v>
      </c>
      <c r="I32" t="s">
        <v>196</v>
      </c>
      <c r="J32">
        <v>39.363999999999997</v>
      </c>
      <c r="K32">
        <v>-0.34100000000000003</v>
      </c>
      <c r="M32" t="s">
        <v>535</v>
      </c>
      <c r="N32">
        <v>534</v>
      </c>
      <c r="O32" t="s">
        <v>521</v>
      </c>
      <c r="R32" t="s">
        <v>522</v>
      </c>
      <c r="T32" t="s">
        <v>354</v>
      </c>
      <c r="V32" t="s">
        <v>112</v>
      </c>
      <c r="W32" t="s">
        <v>529</v>
      </c>
      <c r="Y32" t="s">
        <v>87</v>
      </c>
      <c r="Z32" s="22"/>
      <c r="AA32" s="22"/>
      <c r="AC32" t="s">
        <v>277</v>
      </c>
      <c r="AQ32" t="s">
        <v>88</v>
      </c>
      <c r="AR32" t="s">
        <v>88</v>
      </c>
      <c r="AS32" t="s">
        <v>88</v>
      </c>
      <c r="AW32" t="s">
        <v>529</v>
      </c>
      <c r="AX32" t="s">
        <v>359</v>
      </c>
      <c r="BH32">
        <v>42</v>
      </c>
      <c r="BP32">
        <v>17207</v>
      </c>
      <c r="BY32" t="s">
        <v>96</v>
      </c>
      <c r="CE32">
        <v>0.8</v>
      </c>
      <c r="CH32" t="s">
        <v>104</v>
      </c>
      <c r="CI32" t="s">
        <v>537</v>
      </c>
      <c r="CK32" t="s">
        <v>534</v>
      </c>
      <c r="CQ32" t="s">
        <v>550</v>
      </c>
      <c r="CR32" t="s">
        <v>541</v>
      </c>
      <c r="CU32" t="s">
        <v>88</v>
      </c>
      <c r="CV32" t="s">
        <v>88</v>
      </c>
      <c r="CY32" s="24"/>
    </row>
    <row r="33" spans="1:103" x14ac:dyDescent="0.35">
      <c r="A33">
        <v>129</v>
      </c>
      <c r="B33" s="1">
        <v>50</v>
      </c>
      <c r="C33" t="s">
        <v>135</v>
      </c>
      <c r="D33">
        <v>2013</v>
      </c>
      <c r="E33" s="26" t="s">
        <v>530</v>
      </c>
      <c r="G33" t="s">
        <v>529</v>
      </c>
      <c r="H33">
        <v>2</v>
      </c>
      <c r="I33" t="s">
        <v>196</v>
      </c>
      <c r="J33">
        <v>39.363999999999997</v>
      </c>
      <c r="K33">
        <v>-0.34100000000000003</v>
      </c>
      <c r="M33" t="s">
        <v>535</v>
      </c>
      <c r="N33">
        <v>534</v>
      </c>
      <c r="O33" t="s">
        <v>521</v>
      </c>
      <c r="R33" t="s">
        <v>522</v>
      </c>
      <c r="T33" t="s">
        <v>354</v>
      </c>
      <c r="V33" t="s">
        <v>112</v>
      </c>
      <c r="W33" t="s">
        <v>529</v>
      </c>
      <c r="Y33" t="s">
        <v>87</v>
      </c>
      <c r="Z33" s="22">
        <v>0.36099999999999999</v>
      </c>
      <c r="AA33" s="22">
        <v>0.20499999999999999</v>
      </c>
      <c r="AB33" s="36">
        <v>43.21</v>
      </c>
      <c r="AC33" t="s">
        <v>277</v>
      </c>
      <c r="AF33">
        <v>0.159</v>
      </c>
      <c r="AJ33">
        <v>0.10100000000000001</v>
      </c>
      <c r="AK33">
        <v>1.7999999999999999E-2</v>
      </c>
      <c r="AL33" s="36">
        <v>82.19</v>
      </c>
      <c r="AQ33" t="s">
        <v>88</v>
      </c>
      <c r="AR33" t="s">
        <v>88</v>
      </c>
      <c r="AS33" t="s">
        <v>88</v>
      </c>
      <c r="AT33">
        <v>7.84</v>
      </c>
      <c r="AU33">
        <v>7.53</v>
      </c>
      <c r="AW33" t="s">
        <v>529</v>
      </c>
      <c r="AX33" t="s">
        <v>536</v>
      </c>
      <c r="BH33">
        <v>41</v>
      </c>
      <c r="BI33">
        <v>42.5</v>
      </c>
      <c r="BP33">
        <v>14632</v>
      </c>
      <c r="BY33" t="s">
        <v>96</v>
      </c>
      <c r="CE33">
        <v>7.03</v>
      </c>
      <c r="CH33" t="s">
        <v>104</v>
      </c>
      <c r="CI33" t="s">
        <v>537</v>
      </c>
      <c r="CK33" t="s">
        <v>534</v>
      </c>
      <c r="CQ33" t="s">
        <v>550</v>
      </c>
      <c r="CR33" t="s">
        <v>878</v>
      </c>
      <c r="CU33" t="s">
        <v>88</v>
      </c>
      <c r="CV33" t="s">
        <v>88</v>
      </c>
      <c r="CY33" s="24" t="s">
        <v>880</v>
      </c>
    </row>
    <row r="34" spans="1:103" x14ac:dyDescent="0.35">
      <c r="A34">
        <v>130</v>
      </c>
      <c r="B34" s="1">
        <v>50</v>
      </c>
      <c r="C34" t="s">
        <v>135</v>
      </c>
      <c r="D34">
        <v>2013</v>
      </c>
      <c r="E34" s="27" t="s">
        <v>547</v>
      </c>
      <c r="G34" t="s">
        <v>529</v>
      </c>
      <c r="H34">
        <v>2</v>
      </c>
      <c r="I34" t="s">
        <v>196</v>
      </c>
      <c r="J34">
        <v>39.363999999999997</v>
      </c>
      <c r="K34">
        <v>-0.34100000000000003</v>
      </c>
      <c r="M34" t="s">
        <v>535</v>
      </c>
      <c r="N34">
        <v>534</v>
      </c>
      <c r="O34" t="s">
        <v>521</v>
      </c>
      <c r="R34" t="s">
        <v>522</v>
      </c>
      <c r="T34" t="s">
        <v>354</v>
      </c>
      <c r="V34" t="s">
        <v>112</v>
      </c>
      <c r="W34" t="s">
        <v>529</v>
      </c>
      <c r="Y34" t="s">
        <v>87</v>
      </c>
      <c r="Z34" s="22"/>
      <c r="AA34" s="22"/>
      <c r="AC34" t="s">
        <v>277</v>
      </c>
      <c r="AQ34" t="s">
        <v>88</v>
      </c>
      <c r="AR34" t="s">
        <v>88</v>
      </c>
      <c r="AS34" t="s">
        <v>88</v>
      </c>
      <c r="AW34" t="s">
        <v>529</v>
      </c>
      <c r="AX34" t="s">
        <v>536</v>
      </c>
      <c r="BH34">
        <v>23</v>
      </c>
      <c r="BP34">
        <v>3575</v>
      </c>
      <c r="BY34" t="s">
        <v>96</v>
      </c>
      <c r="CE34">
        <v>2.2799999999999998</v>
      </c>
      <c r="CH34" t="s">
        <v>104</v>
      </c>
      <c r="CI34" t="s">
        <v>537</v>
      </c>
      <c r="CK34" t="s">
        <v>534</v>
      </c>
      <c r="CQ34" t="s">
        <v>550</v>
      </c>
      <c r="CR34" t="s">
        <v>540</v>
      </c>
      <c r="CU34" t="s">
        <v>88</v>
      </c>
      <c r="CV34" t="s">
        <v>88</v>
      </c>
      <c r="CY34" s="24"/>
    </row>
    <row r="35" spans="1:103" x14ac:dyDescent="0.35">
      <c r="A35">
        <v>131</v>
      </c>
      <c r="B35" s="1">
        <v>50</v>
      </c>
      <c r="C35" t="s">
        <v>135</v>
      </c>
      <c r="D35">
        <v>2013</v>
      </c>
      <c r="E35" s="27" t="s">
        <v>548</v>
      </c>
      <c r="G35" t="s">
        <v>529</v>
      </c>
      <c r="H35">
        <v>2</v>
      </c>
      <c r="I35" t="s">
        <v>196</v>
      </c>
      <c r="J35">
        <v>39.363999999999997</v>
      </c>
      <c r="K35">
        <v>-0.34100000000000003</v>
      </c>
      <c r="M35" t="s">
        <v>535</v>
      </c>
      <c r="N35">
        <v>534</v>
      </c>
      <c r="O35" t="s">
        <v>521</v>
      </c>
      <c r="R35" t="s">
        <v>522</v>
      </c>
      <c r="T35" t="s">
        <v>354</v>
      </c>
      <c r="V35" t="s">
        <v>112</v>
      </c>
      <c r="W35" t="s">
        <v>529</v>
      </c>
      <c r="Y35" t="s">
        <v>87</v>
      </c>
      <c r="Z35" s="22"/>
      <c r="AA35" s="22"/>
      <c r="AC35" t="s">
        <v>277</v>
      </c>
      <c r="AQ35" t="s">
        <v>88</v>
      </c>
      <c r="AR35" t="s">
        <v>88</v>
      </c>
      <c r="AS35" t="s">
        <v>88</v>
      </c>
      <c r="AW35" t="s">
        <v>529</v>
      </c>
      <c r="AX35" t="s">
        <v>359</v>
      </c>
      <c r="BH35">
        <v>28</v>
      </c>
      <c r="BP35">
        <v>5155</v>
      </c>
      <c r="BY35" t="s">
        <v>96</v>
      </c>
      <c r="CE35">
        <v>2.54</v>
      </c>
      <c r="CH35" t="s">
        <v>104</v>
      </c>
      <c r="CI35" t="s">
        <v>537</v>
      </c>
      <c r="CK35" t="s">
        <v>534</v>
      </c>
      <c r="CQ35" t="s">
        <v>550</v>
      </c>
      <c r="CR35" t="s">
        <v>542</v>
      </c>
      <c r="CU35" t="s">
        <v>88</v>
      </c>
      <c r="CV35" t="s">
        <v>88</v>
      </c>
      <c r="CY35" s="24"/>
    </row>
    <row r="36" spans="1:103" x14ac:dyDescent="0.35">
      <c r="A36">
        <v>132</v>
      </c>
      <c r="B36" s="1">
        <v>50</v>
      </c>
      <c r="C36" t="s">
        <v>135</v>
      </c>
      <c r="D36">
        <v>2013</v>
      </c>
      <c r="E36" s="27" t="s">
        <v>549</v>
      </c>
      <c r="G36" t="s">
        <v>529</v>
      </c>
      <c r="H36">
        <v>2</v>
      </c>
      <c r="I36" t="s">
        <v>196</v>
      </c>
      <c r="J36">
        <v>39.363999999999997</v>
      </c>
      <c r="K36">
        <v>-0.34100000000000003</v>
      </c>
      <c r="M36" t="s">
        <v>535</v>
      </c>
      <c r="N36">
        <v>534</v>
      </c>
      <c r="O36" t="s">
        <v>521</v>
      </c>
      <c r="R36" t="s">
        <v>522</v>
      </c>
      <c r="T36" t="s">
        <v>354</v>
      </c>
      <c r="V36" t="s">
        <v>112</v>
      </c>
      <c r="W36" t="s">
        <v>529</v>
      </c>
      <c r="Y36" t="s">
        <v>87</v>
      </c>
      <c r="Z36" s="22"/>
      <c r="AA36" s="22"/>
      <c r="AC36" t="s">
        <v>277</v>
      </c>
      <c r="AQ36" t="s">
        <v>88</v>
      </c>
      <c r="AR36" t="s">
        <v>88</v>
      </c>
      <c r="AS36" t="s">
        <v>88</v>
      </c>
      <c r="AW36" t="s">
        <v>529</v>
      </c>
      <c r="AX36" t="s">
        <v>359</v>
      </c>
      <c r="BH36">
        <v>-1</v>
      </c>
      <c r="BP36">
        <v>5902</v>
      </c>
      <c r="BY36" t="s">
        <v>96</v>
      </c>
      <c r="CE36">
        <v>2.21</v>
      </c>
      <c r="CH36" t="s">
        <v>104</v>
      </c>
      <c r="CI36" t="s">
        <v>537</v>
      </c>
      <c r="CK36" t="s">
        <v>534</v>
      </c>
      <c r="CQ36" t="s">
        <v>550</v>
      </c>
      <c r="CR36" t="s">
        <v>541</v>
      </c>
      <c r="CU36" t="s">
        <v>88</v>
      </c>
      <c r="CV36" t="s">
        <v>88</v>
      </c>
      <c r="CW36" t="s">
        <v>543</v>
      </c>
      <c r="CY36" s="24"/>
    </row>
    <row r="37" spans="1:103" x14ac:dyDescent="0.35">
      <c r="A37">
        <v>133</v>
      </c>
      <c r="B37" s="1">
        <v>50</v>
      </c>
      <c r="C37" t="s">
        <v>135</v>
      </c>
      <c r="D37">
        <v>2013</v>
      </c>
      <c r="E37" t="s">
        <v>531</v>
      </c>
      <c r="G37" t="s">
        <v>529</v>
      </c>
      <c r="H37">
        <v>2</v>
      </c>
      <c r="I37" t="s">
        <v>196</v>
      </c>
      <c r="J37">
        <v>39.363999999999997</v>
      </c>
      <c r="K37">
        <v>-0.34100000000000003</v>
      </c>
      <c r="M37" t="s">
        <v>535</v>
      </c>
      <c r="N37">
        <v>534</v>
      </c>
      <c r="O37" t="s">
        <v>521</v>
      </c>
      <c r="R37" t="s">
        <v>522</v>
      </c>
      <c r="T37" t="s">
        <v>354</v>
      </c>
      <c r="V37" t="s">
        <v>112</v>
      </c>
      <c r="W37" t="s">
        <v>529</v>
      </c>
      <c r="Y37" t="s">
        <v>87</v>
      </c>
      <c r="Z37" s="22">
        <v>0.36099999999999999</v>
      </c>
      <c r="AA37" s="22">
        <v>0.23699999999999999</v>
      </c>
      <c r="AB37" s="36">
        <v>34.35</v>
      </c>
      <c r="AC37" t="s">
        <v>277</v>
      </c>
      <c r="AF37">
        <v>0.159</v>
      </c>
      <c r="AJ37">
        <v>0.10100000000000001</v>
      </c>
      <c r="AK37">
        <v>0.01</v>
      </c>
      <c r="AL37" s="36">
        <v>90.1</v>
      </c>
      <c r="AQ37" t="s">
        <v>88</v>
      </c>
      <c r="AR37" t="s">
        <v>88</v>
      </c>
      <c r="AS37" t="s">
        <v>88</v>
      </c>
      <c r="AT37">
        <v>7.84</v>
      </c>
      <c r="AU37">
        <v>7.65</v>
      </c>
      <c r="AW37" t="s">
        <v>529</v>
      </c>
      <c r="AX37" t="s">
        <v>359</v>
      </c>
      <c r="BH37">
        <v>38</v>
      </c>
      <c r="BI37">
        <v>42.3</v>
      </c>
      <c r="BP37">
        <v>25596</v>
      </c>
      <c r="BY37" t="s">
        <v>96</v>
      </c>
      <c r="CE37">
        <v>0.71</v>
      </c>
      <c r="CH37" t="s">
        <v>104</v>
      </c>
      <c r="CI37" t="s">
        <v>537</v>
      </c>
      <c r="CK37" t="s">
        <v>534</v>
      </c>
      <c r="CQ37" t="s">
        <v>550</v>
      </c>
      <c r="CR37" t="s">
        <v>541</v>
      </c>
      <c r="CU37" t="s">
        <v>88</v>
      </c>
      <c r="CV37" t="s">
        <v>88</v>
      </c>
      <c r="CY37" s="24" t="s">
        <v>880</v>
      </c>
    </row>
    <row r="38" spans="1:103" x14ac:dyDescent="0.35">
      <c r="A38">
        <v>159</v>
      </c>
      <c r="B38" s="1">
        <v>51</v>
      </c>
      <c r="C38" t="s">
        <v>147</v>
      </c>
      <c r="D38">
        <v>2001</v>
      </c>
      <c r="E38" t="s">
        <v>431</v>
      </c>
      <c r="G38" t="s">
        <v>211</v>
      </c>
      <c r="H38">
        <v>3</v>
      </c>
      <c r="I38" t="s">
        <v>69</v>
      </c>
      <c r="J38">
        <v>26.632999999999999</v>
      </c>
      <c r="K38">
        <v>-80.417000000000002</v>
      </c>
      <c r="O38" t="s">
        <v>80</v>
      </c>
      <c r="R38" t="s">
        <v>220</v>
      </c>
      <c r="S38" s="24" t="s">
        <v>82</v>
      </c>
      <c r="T38" t="s">
        <v>338</v>
      </c>
      <c r="V38" t="s">
        <v>187</v>
      </c>
      <c r="W38" t="s">
        <v>211</v>
      </c>
      <c r="Y38" t="s">
        <v>87</v>
      </c>
      <c r="Z38" s="22">
        <v>0.10519000000000001</v>
      </c>
      <c r="AA38" s="22">
        <v>2.24E-2</v>
      </c>
      <c r="AB38" s="36">
        <v>78.709999999999994</v>
      </c>
      <c r="AC38" t="s">
        <v>107</v>
      </c>
      <c r="AD38" s="22">
        <v>5.713E-2</v>
      </c>
      <c r="AE38" s="22">
        <v>0.19685</v>
      </c>
      <c r="AG38" s="22">
        <v>8.0199999999999994E-3</v>
      </c>
      <c r="AH38" s="22">
        <v>4.0370000000000003E-2</v>
      </c>
      <c r="AQ38" t="s">
        <v>88</v>
      </c>
      <c r="AR38" t="s">
        <v>87</v>
      </c>
      <c r="AS38" t="s">
        <v>87</v>
      </c>
      <c r="AV38" t="s">
        <v>235</v>
      </c>
      <c r="AW38" t="s">
        <v>211</v>
      </c>
      <c r="BD38" t="s">
        <v>87</v>
      </c>
      <c r="BE38">
        <v>1.22</v>
      </c>
      <c r="BF38">
        <v>0.24</v>
      </c>
      <c r="BG38" s="36">
        <v>0.98</v>
      </c>
      <c r="BH38" s="36">
        <v>80.33</v>
      </c>
      <c r="BP38">
        <v>15440000</v>
      </c>
      <c r="BT38">
        <v>5</v>
      </c>
      <c r="BX38" t="s">
        <v>621</v>
      </c>
      <c r="BY38" t="s">
        <v>96</v>
      </c>
      <c r="CH38" t="s">
        <v>104</v>
      </c>
      <c r="CY38" s="24" t="s">
        <v>884</v>
      </c>
    </row>
    <row r="39" spans="1:103" x14ac:dyDescent="0.35">
      <c r="A39">
        <v>160</v>
      </c>
      <c r="B39" s="1">
        <v>51</v>
      </c>
      <c r="C39" t="s">
        <v>147</v>
      </c>
      <c r="D39">
        <v>2001</v>
      </c>
      <c r="E39" t="s">
        <v>432</v>
      </c>
      <c r="G39" t="s">
        <v>211</v>
      </c>
      <c r="H39">
        <v>3</v>
      </c>
      <c r="I39" t="s">
        <v>69</v>
      </c>
      <c r="J39">
        <v>26.632999999999999</v>
      </c>
      <c r="K39">
        <v>-80.417000000000002</v>
      </c>
      <c r="O39" t="s">
        <v>80</v>
      </c>
      <c r="R39" t="s">
        <v>220</v>
      </c>
      <c r="S39" s="24" t="s">
        <v>82</v>
      </c>
      <c r="T39" t="s">
        <v>434</v>
      </c>
      <c r="V39" t="s">
        <v>187</v>
      </c>
      <c r="W39" t="s">
        <v>211</v>
      </c>
      <c r="Y39" t="s">
        <v>87</v>
      </c>
      <c r="Z39" s="22">
        <v>0.10707999999999999</v>
      </c>
      <c r="AA39" s="22">
        <v>2.1839999999999998E-2</v>
      </c>
      <c r="AB39" s="36">
        <v>79.599999999999994</v>
      </c>
      <c r="AC39" t="s">
        <v>107</v>
      </c>
      <c r="AD39" s="22">
        <v>5.67E-2</v>
      </c>
      <c r="AE39" s="22">
        <v>0.20102999999999999</v>
      </c>
      <c r="AG39" s="22">
        <v>8.0199999999999994E-3</v>
      </c>
      <c r="AH39" s="22">
        <v>3.9440000000000003E-2</v>
      </c>
      <c r="AQ39" t="s">
        <v>88</v>
      </c>
      <c r="AR39" t="s">
        <v>87</v>
      </c>
      <c r="AS39" t="s">
        <v>87</v>
      </c>
      <c r="AV39" t="s">
        <v>235</v>
      </c>
      <c r="AW39" t="s">
        <v>211</v>
      </c>
      <c r="BD39" t="s">
        <v>87</v>
      </c>
      <c r="BE39">
        <v>1.2</v>
      </c>
      <c r="BF39">
        <v>0.24</v>
      </c>
      <c r="BG39" s="36">
        <v>0.96</v>
      </c>
      <c r="BH39" s="36">
        <v>80</v>
      </c>
      <c r="BP39">
        <v>15440000</v>
      </c>
      <c r="BT39">
        <v>5</v>
      </c>
      <c r="BX39" t="s">
        <v>621</v>
      </c>
      <c r="BY39" t="s">
        <v>96</v>
      </c>
      <c r="CH39" t="s">
        <v>104</v>
      </c>
      <c r="CY39" s="24" t="s">
        <v>884</v>
      </c>
    </row>
    <row r="40" spans="1:103" x14ac:dyDescent="0.35">
      <c r="A40">
        <v>161</v>
      </c>
      <c r="B40" s="1">
        <v>51</v>
      </c>
      <c r="C40" t="s">
        <v>147</v>
      </c>
      <c r="D40">
        <v>2001</v>
      </c>
      <c r="E40" t="s">
        <v>433</v>
      </c>
      <c r="G40" t="s">
        <v>211</v>
      </c>
      <c r="H40">
        <v>3</v>
      </c>
      <c r="I40" t="s">
        <v>69</v>
      </c>
      <c r="J40">
        <v>26.632999999999999</v>
      </c>
      <c r="K40">
        <v>-80.417000000000002</v>
      </c>
      <c r="O40" t="s">
        <v>80</v>
      </c>
      <c r="R40" t="s">
        <v>220</v>
      </c>
      <c r="S40" s="24" t="s">
        <v>82</v>
      </c>
      <c r="T40" t="s">
        <v>354</v>
      </c>
      <c r="V40" t="s">
        <v>187</v>
      </c>
      <c r="W40" t="s">
        <v>211</v>
      </c>
      <c r="Y40" t="s">
        <v>87</v>
      </c>
      <c r="Z40" s="22">
        <v>0.10587000000000001</v>
      </c>
      <c r="AA40" s="22">
        <v>2.1829999999999999E-2</v>
      </c>
      <c r="AB40" s="36">
        <v>79.38</v>
      </c>
      <c r="AC40" t="s">
        <v>107</v>
      </c>
      <c r="AD40" s="22">
        <v>5.67E-2</v>
      </c>
      <c r="AE40" s="22">
        <v>0.20102999999999999</v>
      </c>
      <c r="AG40" s="22">
        <v>8.0199999999999994E-3</v>
      </c>
      <c r="AH40" s="22">
        <v>4.283E-2</v>
      </c>
      <c r="AQ40" t="s">
        <v>88</v>
      </c>
      <c r="AR40" t="s">
        <v>87</v>
      </c>
      <c r="AS40" t="s">
        <v>87</v>
      </c>
      <c r="AV40" t="s">
        <v>235</v>
      </c>
      <c r="AW40" t="s">
        <v>211</v>
      </c>
      <c r="BD40" t="s">
        <v>87</v>
      </c>
      <c r="BE40">
        <v>1.2</v>
      </c>
      <c r="BF40">
        <v>0.24</v>
      </c>
      <c r="BG40" s="36">
        <v>0.96</v>
      </c>
      <c r="BH40" s="36">
        <v>80</v>
      </c>
      <c r="BP40">
        <v>15440000</v>
      </c>
      <c r="BT40">
        <v>5</v>
      </c>
      <c r="BX40" t="s">
        <v>621</v>
      </c>
      <c r="BY40" t="s">
        <v>96</v>
      </c>
      <c r="CH40" t="s">
        <v>104</v>
      </c>
      <c r="CY40" s="24" t="s">
        <v>884</v>
      </c>
    </row>
    <row r="41" spans="1:103" x14ac:dyDescent="0.35">
      <c r="A41">
        <v>166</v>
      </c>
      <c r="B41" s="1">
        <v>52</v>
      </c>
      <c r="C41" t="s">
        <v>169</v>
      </c>
      <c r="D41">
        <v>2001</v>
      </c>
      <c r="E41" s="26" t="s">
        <v>278</v>
      </c>
      <c r="G41" t="s">
        <v>284</v>
      </c>
      <c r="H41">
        <v>4</v>
      </c>
      <c r="I41" t="s">
        <v>69</v>
      </c>
      <c r="J41">
        <v>26.632999999999999</v>
      </c>
      <c r="K41">
        <v>-80.417000000000002</v>
      </c>
      <c r="O41" t="s">
        <v>80</v>
      </c>
      <c r="Q41">
        <v>9</v>
      </c>
      <c r="R41" t="s">
        <v>296</v>
      </c>
      <c r="S41" s="24" t="s">
        <v>82</v>
      </c>
      <c r="T41" t="s">
        <v>235</v>
      </c>
      <c r="W41" s="30" t="s">
        <v>284</v>
      </c>
      <c r="Y41" t="s">
        <v>87</v>
      </c>
      <c r="Z41" s="22"/>
      <c r="AA41" s="22">
        <v>2.1999999999999999E-2</v>
      </c>
      <c r="AC41" t="s">
        <v>107</v>
      </c>
      <c r="AD41">
        <v>5.7000000000000002E-2</v>
      </c>
      <c r="AE41">
        <v>0.20100000000000001</v>
      </c>
      <c r="AG41">
        <v>0.01</v>
      </c>
      <c r="AH41">
        <v>3.9E-2</v>
      </c>
      <c r="AQ41" t="s">
        <v>87</v>
      </c>
      <c r="AR41" t="s">
        <v>87</v>
      </c>
      <c r="AS41" t="s">
        <v>87</v>
      </c>
      <c r="AV41" t="s">
        <v>235</v>
      </c>
      <c r="AW41" s="30" t="s">
        <v>284</v>
      </c>
      <c r="AY41">
        <v>218300000</v>
      </c>
      <c r="BA41">
        <v>218000000</v>
      </c>
      <c r="BD41" t="s">
        <v>83</v>
      </c>
      <c r="BG41">
        <v>0.84799999999999998</v>
      </c>
      <c r="BH41">
        <v>77.099999999999994</v>
      </c>
      <c r="BJ41">
        <v>13103</v>
      </c>
      <c r="BP41">
        <v>15450000</v>
      </c>
      <c r="BT41">
        <v>5</v>
      </c>
      <c r="BU41">
        <v>0.56000000000000005</v>
      </c>
      <c r="BX41" t="s">
        <v>621</v>
      </c>
      <c r="BY41" t="s">
        <v>96</v>
      </c>
      <c r="CC41">
        <v>485</v>
      </c>
      <c r="CD41">
        <v>15.3</v>
      </c>
      <c r="CH41" t="s">
        <v>104</v>
      </c>
      <c r="CQ41" s="24" t="s">
        <v>302</v>
      </c>
      <c r="CY41" s="24"/>
    </row>
    <row r="42" spans="1:103" x14ac:dyDescent="0.35">
      <c r="A42">
        <v>167</v>
      </c>
      <c r="B42" s="1">
        <v>52</v>
      </c>
      <c r="C42" t="s">
        <v>169</v>
      </c>
      <c r="D42">
        <v>2001</v>
      </c>
      <c r="E42" s="27" t="s">
        <v>279</v>
      </c>
      <c r="G42" t="s">
        <v>284</v>
      </c>
      <c r="H42">
        <v>4</v>
      </c>
      <c r="I42" t="s">
        <v>69</v>
      </c>
      <c r="J42">
        <v>26.632999999999999</v>
      </c>
      <c r="K42">
        <v>-80.417000000000002</v>
      </c>
      <c r="O42" t="s">
        <v>80</v>
      </c>
      <c r="Q42">
        <v>9</v>
      </c>
      <c r="R42" t="s">
        <v>296</v>
      </c>
      <c r="S42" s="24" t="s">
        <v>82</v>
      </c>
      <c r="T42" t="s">
        <v>235</v>
      </c>
      <c r="W42" s="30" t="s">
        <v>284</v>
      </c>
      <c r="Y42" t="s">
        <v>87</v>
      </c>
      <c r="Z42" s="22"/>
      <c r="AA42" s="22"/>
      <c r="AQ42" t="s">
        <v>87</v>
      </c>
      <c r="AR42" t="s">
        <v>87</v>
      </c>
      <c r="AS42" t="s">
        <v>87</v>
      </c>
      <c r="AV42" t="s">
        <v>235</v>
      </c>
      <c r="AW42" s="30" t="s">
        <v>284</v>
      </c>
      <c r="AY42">
        <v>176200000</v>
      </c>
      <c r="BA42">
        <v>157800000</v>
      </c>
      <c r="BD42" t="s">
        <v>83</v>
      </c>
      <c r="BG42">
        <v>8.5399999999999991</v>
      </c>
      <c r="BH42">
        <v>28.9</v>
      </c>
      <c r="BJ42">
        <v>4602</v>
      </c>
      <c r="BP42">
        <v>540000</v>
      </c>
      <c r="BT42">
        <v>1</v>
      </c>
      <c r="BU42">
        <v>0.56000000000000005</v>
      </c>
      <c r="BX42" t="s">
        <v>638</v>
      </c>
      <c r="BY42" t="s">
        <v>96</v>
      </c>
      <c r="BZ42" t="s">
        <v>285</v>
      </c>
      <c r="CA42" t="s">
        <v>286</v>
      </c>
      <c r="CB42" t="s">
        <v>291</v>
      </c>
      <c r="CC42">
        <v>12</v>
      </c>
      <c r="CD42">
        <v>333</v>
      </c>
      <c r="CH42" t="s">
        <v>104</v>
      </c>
      <c r="CQ42" s="24" t="s">
        <v>302</v>
      </c>
      <c r="CY42" s="24"/>
    </row>
    <row r="43" spans="1:103" x14ac:dyDescent="0.35">
      <c r="A43">
        <v>168</v>
      </c>
      <c r="B43" s="1">
        <v>52</v>
      </c>
      <c r="C43" t="s">
        <v>169</v>
      </c>
      <c r="D43">
        <v>2001</v>
      </c>
      <c r="E43" s="27" t="s">
        <v>280</v>
      </c>
      <c r="G43" t="s">
        <v>284</v>
      </c>
      <c r="H43">
        <v>4</v>
      </c>
      <c r="I43" t="s">
        <v>69</v>
      </c>
      <c r="J43">
        <v>26.632999999999999</v>
      </c>
      <c r="K43">
        <v>-80.417000000000002</v>
      </c>
      <c r="O43" t="s">
        <v>80</v>
      </c>
      <c r="Q43">
        <v>9</v>
      </c>
      <c r="R43" t="s">
        <v>296</v>
      </c>
      <c r="S43" s="24" t="s">
        <v>82</v>
      </c>
      <c r="T43" t="s">
        <v>235</v>
      </c>
      <c r="W43" s="30" t="s">
        <v>284</v>
      </c>
      <c r="Y43" t="s">
        <v>87</v>
      </c>
      <c r="Z43" s="22"/>
      <c r="AA43" s="22"/>
      <c r="AQ43" t="s">
        <v>87</v>
      </c>
      <c r="AR43" t="s">
        <v>87</v>
      </c>
      <c r="AS43" t="s">
        <v>87</v>
      </c>
      <c r="AV43" t="s">
        <v>235</v>
      </c>
      <c r="AW43" s="30" t="s">
        <v>284</v>
      </c>
      <c r="AY43">
        <v>78900000</v>
      </c>
      <c r="BA43">
        <v>70600000</v>
      </c>
      <c r="BD43" t="s">
        <v>83</v>
      </c>
      <c r="BG43">
        <v>0.35799999999999998</v>
      </c>
      <c r="BH43">
        <v>43.1</v>
      </c>
      <c r="BJ43">
        <v>1888</v>
      </c>
      <c r="BP43">
        <v>5270000</v>
      </c>
      <c r="BT43">
        <v>1</v>
      </c>
      <c r="BU43">
        <v>0.54</v>
      </c>
      <c r="BX43" t="s">
        <v>639</v>
      </c>
      <c r="BY43" t="s">
        <v>96</v>
      </c>
      <c r="BZ43" t="s">
        <v>95</v>
      </c>
      <c r="CA43" t="s">
        <v>287</v>
      </c>
      <c r="CB43" t="s">
        <v>292</v>
      </c>
      <c r="CC43">
        <v>362</v>
      </c>
      <c r="CD43">
        <v>14.6</v>
      </c>
      <c r="CH43" t="s">
        <v>104</v>
      </c>
      <c r="CQ43" s="24" t="s">
        <v>302</v>
      </c>
      <c r="CY43" s="24"/>
    </row>
    <row r="44" spans="1:103" x14ac:dyDescent="0.35">
      <c r="A44">
        <v>169</v>
      </c>
      <c r="B44" s="1">
        <v>52</v>
      </c>
      <c r="C44" t="s">
        <v>169</v>
      </c>
      <c r="D44">
        <v>2001</v>
      </c>
      <c r="E44" s="27" t="s">
        <v>281</v>
      </c>
      <c r="G44" t="s">
        <v>284</v>
      </c>
      <c r="H44">
        <v>4</v>
      </c>
      <c r="I44" t="s">
        <v>69</v>
      </c>
      <c r="J44">
        <v>26.632999999999999</v>
      </c>
      <c r="K44">
        <v>-80.417000000000002</v>
      </c>
      <c r="O44" t="s">
        <v>80</v>
      </c>
      <c r="Q44">
        <v>9</v>
      </c>
      <c r="R44" t="s">
        <v>296</v>
      </c>
      <c r="S44" s="24" t="s">
        <v>82</v>
      </c>
      <c r="T44" t="s">
        <v>235</v>
      </c>
      <c r="W44" s="30" t="s">
        <v>284</v>
      </c>
      <c r="Y44" t="s">
        <v>87</v>
      </c>
      <c r="Z44" s="22"/>
      <c r="AA44" s="22"/>
      <c r="AQ44" t="s">
        <v>87</v>
      </c>
      <c r="AR44" t="s">
        <v>87</v>
      </c>
      <c r="AS44" t="s">
        <v>87</v>
      </c>
      <c r="AV44" t="s">
        <v>235</v>
      </c>
      <c r="AW44" s="30" t="s">
        <v>284</v>
      </c>
      <c r="AY44">
        <v>98500000</v>
      </c>
      <c r="BA44">
        <v>108700000</v>
      </c>
      <c r="BD44" t="s">
        <v>83</v>
      </c>
      <c r="BG44">
        <v>0.92500000000000004</v>
      </c>
      <c r="BH44">
        <v>52.8</v>
      </c>
      <c r="BJ44">
        <v>3824</v>
      </c>
      <c r="BP44">
        <v>4130000</v>
      </c>
      <c r="BT44">
        <v>1</v>
      </c>
      <c r="BU44">
        <v>0.75</v>
      </c>
      <c r="BX44" t="s">
        <v>639</v>
      </c>
      <c r="BY44" t="s">
        <v>96</v>
      </c>
      <c r="BZ44" t="s">
        <v>95</v>
      </c>
      <c r="CA44" t="s">
        <v>288</v>
      </c>
      <c r="CB44" t="s">
        <v>293</v>
      </c>
      <c r="CC44">
        <v>266</v>
      </c>
      <c r="CD44">
        <v>23</v>
      </c>
      <c r="CH44" t="s">
        <v>104</v>
      </c>
      <c r="CQ44" s="24" t="s">
        <v>302</v>
      </c>
      <c r="CY44" s="24"/>
    </row>
    <row r="45" spans="1:103" x14ac:dyDescent="0.35">
      <c r="A45">
        <v>170</v>
      </c>
      <c r="B45" s="1">
        <v>52</v>
      </c>
      <c r="C45" t="s">
        <v>169</v>
      </c>
      <c r="D45">
        <v>2001</v>
      </c>
      <c r="E45" s="27" t="s">
        <v>282</v>
      </c>
      <c r="G45" t="s">
        <v>284</v>
      </c>
      <c r="H45">
        <v>4</v>
      </c>
      <c r="I45" t="s">
        <v>69</v>
      </c>
      <c r="J45">
        <v>26.632999999999999</v>
      </c>
      <c r="K45">
        <v>-80.417000000000002</v>
      </c>
      <c r="O45" t="s">
        <v>80</v>
      </c>
      <c r="Q45">
        <v>9</v>
      </c>
      <c r="R45" t="s">
        <v>296</v>
      </c>
      <c r="S45" s="24" t="s">
        <v>82</v>
      </c>
      <c r="T45" t="s">
        <v>235</v>
      </c>
      <c r="W45" s="30" t="s">
        <v>284</v>
      </c>
      <c r="Y45" t="s">
        <v>87</v>
      </c>
      <c r="Z45" s="22"/>
      <c r="AA45" s="22"/>
      <c r="AQ45" t="s">
        <v>87</v>
      </c>
      <c r="AR45" t="s">
        <v>87</v>
      </c>
      <c r="AS45" t="s">
        <v>87</v>
      </c>
      <c r="AV45" t="s">
        <v>235</v>
      </c>
      <c r="AW45" s="30" t="s">
        <v>284</v>
      </c>
      <c r="AY45">
        <v>76700000</v>
      </c>
      <c r="BA45">
        <v>70500000</v>
      </c>
      <c r="BD45" t="s">
        <v>83</v>
      </c>
      <c r="BG45">
        <v>0.215</v>
      </c>
      <c r="BH45">
        <v>30.4</v>
      </c>
      <c r="BJ45">
        <v>870</v>
      </c>
      <c r="BP45">
        <v>4040000</v>
      </c>
      <c r="BT45">
        <v>1</v>
      </c>
      <c r="BU45">
        <v>0.37</v>
      </c>
      <c r="BX45" t="s">
        <v>639</v>
      </c>
      <c r="BY45" t="s">
        <v>96</v>
      </c>
      <c r="BZ45" t="s">
        <v>95</v>
      </c>
      <c r="CA45" t="s">
        <v>289</v>
      </c>
      <c r="CB45" t="s">
        <v>294</v>
      </c>
      <c r="CC45">
        <v>173</v>
      </c>
      <c r="CD45">
        <v>19</v>
      </c>
      <c r="CH45" t="s">
        <v>104</v>
      </c>
      <c r="CQ45" s="24" t="s">
        <v>302</v>
      </c>
      <c r="CY45" s="24"/>
    </row>
    <row r="46" spans="1:103" x14ac:dyDescent="0.35">
      <c r="A46">
        <v>171</v>
      </c>
      <c r="B46" s="1">
        <v>52</v>
      </c>
      <c r="C46" t="s">
        <v>169</v>
      </c>
      <c r="D46">
        <v>2001</v>
      </c>
      <c r="E46" s="27" t="s">
        <v>283</v>
      </c>
      <c r="G46" t="s">
        <v>284</v>
      </c>
      <c r="H46">
        <v>4</v>
      </c>
      <c r="I46" t="s">
        <v>69</v>
      </c>
      <c r="J46">
        <v>26.632999999999999</v>
      </c>
      <c r="K46">
        <v>-80.417000000000002</v>
      </c>
      <c r="O46" t="s">
        <v>80</v>
      </c>
      <c r="Q46">
        <v>9</v>
      </c>
      <c r="R46" t="s">
        <v>296</v>
      </c>
      <c r="S46" s="24" t="s">
        <v>82</v>
      </c>
      <c r="T46" t="s">
        <v>235</v>
      </c>
      <c r="W46" s="30" t="s">
        <v>284</v>
      </c>
      <c r="Y46" t="s">
        <v>87</v>
      </c>
      <c r="Z46" s="22"/>
      <c r="AA46" s="22"/>
      <c r="AQ46" t="s">
        <v>87</v>
      </c>
      <c r="AR46" t="s">
        <v>87</v>
      </c>
      <c r="AS46" t="s">
        <v>87</v>
      </c>
      <c r="AV46" t="s">
        <v>235</v>
      </c>
      <c r="AW46" s="30" t="s">
        <v>284</v>
      </c>
      <c r="AY46">
        <v>87500000</v>
      </c>
      <c r="BA46">
        <v>86400000</v>
      </c>
      <c r="BD46" t="s">
        <v>83</v>
      </c>
      <c r="BG46">
        <v>1.04</v>
      </c>
      <c r="BH46">
        <v>47.5</v>
      </c>
      <c r="BJ46">
        <v>1524</v>
      </c>
      <c r="BP46">
        <v>1470000</v>
      </c>
      <c r="BT46">
        <v>1</v>
      </c>
      <c r="BU46">
        <v>0.64</v>
      </c>
      <c r="BX46" t="s">
        <v>639</v>
      </c>
      <c r="BY46" t="s">
        <v>95</v>
      </c>
      <c r="BZ46" t="s">
        <v>96</v>
      </c>
      <c r="CA46" t="s">
        <v>290</v>
      </c>
      <c r="CB46" t="s">
        <v>295</v>
      </c>
      <c r="CC46">
        <v>108</v>
      </c>
      <c r="CD46">
        <v>56.9</v>
      </c>
      <c r="CH46" t="s">
        <v>104</v>
      </c>
      <c r="CQ46" s="24" t="s">
        <v>302</v>
      </c>
      <c r="CY46" s="24"/>
    </row>
    <row r="47" spans="1:103" x14ac:dyDescent="0.35">
      <c r="A47">
        <v>181</v>
      </c>
      <c r="B47" s="1">
        <v>55</v>
      </c>
      <c r="C47" t="s">
        <v>173</v>
      </c>
      <c r="D47">
        <v>2005</v>
      </c>
      <c r="E47" t="s">
        <v>482</v>
      </c>
      <c r="G47" s="30">
        <v>2001</v>
      </c>
      <c r="H47">
        <v>1</v>
      </c>
      <c r="I47" t="s">
        <v>210</v>
      </c>
      <c r="O47" t="s">
        <v>310</v>
      </c>
      <c r="P47" t="s">
        <v>183</v>
      </c>
      <c r="Q47" s="28"/>
      <c r="R47" t="s">
        <v>229</v>
      </c>
      <c r="T47" t="s">
        <v>235</v>
      </c>
      <c r="W47" s="30">
        <v>2001</v>
      </c>
      <c r="Y47" t="s">
        <v>87</v>
      </c>
      <c r="Z47" s="22"/>
      <c r="AA47" s="22"/>
      <c r="AQ47" t="s">
        <v>88</v>
      </c>
      <c r="AR47" t="s">
        <v>88</v>
      </c>
      <c r="AS47" t="s">
        <v>87</v>
      </c>
      <c r="AT47">
        <v>6.9</v>
      </c>
      <c r="AU47">
        <v>7.3</v>
      </c>
      <c r="AW47" s="30">
        <v>2001</v>
      </c>
      <c r="BD47" t="s">
        <v>83</v>
      </c>
      <c r="BH47">
        <v>31.3</v>
      </c>
      <c r="BN47">
        <v>21.4</v>
      </c>
      <c r="BP47">
        <v>45</v>
      </c>
      <c r="BU47">
        <v>0.6</v>
      </c>
      <c r="BX47" t="s">
        <v>617</v>
      </c>
      <c r="BY47" t="s">
        <v>96</v>
      </c>
      <c r="CC47">
        <v>96</v>
      </c>
      <c r="CD47">
        <v>47.5</v>
      </c>
      <c r="CH47" t="s">
        <v>312</v>
      </c>
      <c r="CI47" t="s">
        <v>313</v>
      </c>
      <c r="CV47" t="s">
        <v>261</v>
      </c>
      <c r="CY47" s="24"/>
    </row>
    <row r="48" spans="1:103" x14ac:dyDescent="0.35">
      <c r="A48">
        <v>190</v>
      </c>
      <c r="B48" s="1">
        <v>56</v>
      </c>
      <c r="C48" t="s">
        <v>131</v>
      </c>
      <c r="D48">
        <v>2005</v>
      </c>
      <c r="E48" t="s">
        <v>813</v>
      </c>
      <c r="G48" t="s">
        <v>812</v>
      </c>
      <c r="H48">
        <v>1</v>
      </c>
      <c r="I48" t="s">
        <v>192</v>
      </c>
      <c r="J48">
        <v>53.082999999999998</v>
      </c>
      <c r="K48">
        <v>4.7830000000000004</v>
      </c>
      <c r="O48" t="s">
        <v>441</v>
      </c>
      <c r="P48" t="s">
        <v>182</v>
      </c>
      <c r="R48" t="s">
        <v>229</v>
      </c>
      <c r="T48" t="s">
        <v>354</v>
      </c>
      <c r="V48" t="s">
        <v>112</v>
      </c>
      <c r="W48" t="s">
        <v>812</v>
      </c>
      <c r="Y48" t="s">
        <v>87</v>
      </c>
      <c r="Z48" s="22"/>
      <c r="AA48" s="22"/>
      <c r="AQ48" t="s">
        <v>88</v>
      </c>
      <c r="AR48" t="s">
        <v>88</v>
      </c>
      <c r="AS48" t="s">
        <v>88</v>
      </c>
      <c r="AV48" t="s">
        <v>378</v>
      </c>
      <c r="AW48" t="s">
        <v>812</v>
      </c>
      <c r="AX48" t="s">
        <v>523</v>
      </c>
      <c r="AY48">
        <v>409000</v>
      </c>
      <c r="BA48">
        <v>408000</v>
      </c>
      <c r="BD48" t="s">
        <v>87</v>
      </c>
      <c r="BH48">
        <v>-2.4</v>
      </c>
      <c r="BN48">
        <v>-4.5</v>
      </c>
      <c r="BV48">
        <v>0.2</v>
      </c>
      <c r="BW48">
        <v>0.4</v>
      </c>
      <c r="BX48" t="s">
        <v>817</v>
      </c>
      <c r="BY48" t="s">
        <v>96</v>
      </c>
      <c r="BZ48" t="s">
        <v>95</v>
      </c>
      <c r="CC48">
        <v>7.2</v>
      </c>
      <c r="CU48" t="s">
        <v>261</v>
      </c>
      <c r="CV48" t="s">
        <v>261</v>
      </c>
      <c r="CY48" s="24"/>
    </row>
    <row r="49" spans="1:103" x14ac:dyDescent="0.35">
      <c r="A49">
        <v>191</v>
      </c>
      <c r="B49" s="1">
        <v>56</v>
      </c>
      <c r="C49" t="s">
        <v>131</v>
      </c>
      <c r="D49">
        <v>2005</v>
      </c>
      <c r="E49" t="s">
        <v>814</v>
      </c>
      <c r="G49" t="s">
        <v>812</v>
      </c>
      <c r="H49">
        <v>1</v>
      </c>
      <c r="I49" t="s">
        <v>192</v>
      </c>
      <c r="J49">
        <v>53.082999999999998</v>
      </c>
      <c r="K49">
        <v>4.7830000000000004</v>
      </c>
      <c r="O49" t="s">
        <v>441</v>
      </c>
      <c r="P49" t="s">
        <v>182</v>
      </c>
      <c r="R49" t="s">
        <v>229</v>
      </c>
      <c r="T49" t="s">
        <v>354</v>
      </c>
      <c r="V49" t="s">
        <v>112</v>
      </c>
      <c r="W49" t="s">
        <v>812</v>
      </c>
      <c r="Y49" t="s">
        <v>87</v>
      </c>
      <c r="Z49" s="22"/>
      <c r="AA49" s="22"/>
      <c r="AQ49" t="s">
        <v>88</v>
      </c>
      <c r="AR49" t="s">
        <v>88</v>
      </c>
      <c r="AS49" t="s">
        <v>88</v>
      </c>
      <c r="AV49" t="s">
        <v>378</v>
      </c>
      <c r="AW49" t="s">
        <v>812</v>
      </c>
      <c r="AX49" t="s">
        <v>523</v>
      </c>
      <c r="AY49">
        <v>138000</v>
      </c>
      <c r="BA49">
        <v>138000</v>
      </c>
      <c r="BD49" t="s">
        <v>87</v>
      </c>
      <c r="BH49">
        <v>-6.4</v>
      </c>
      <c r="BN49">
        <v>-10.1</v>
      </c>
      <c r="BV49">
        <v>0.2</v>
      </c>
      <c r="BW49">
        <v>0.4</v>
      </c>
      <c r="BX49" t="s">
        <v>817</v>
      </c>
      <c r="BY49" t="s">
        <v>96</v>
      </c>
      <c r="BZ49" t="s">
        <v>95</v>
      </c>
      <c r="CC49">
        <v>19.2</v>
      </c>
      <c r="CR49" t="s">
        <v>818</v>
      </c>
      <c r="CU49" t="s">
        <v>261</v>
      </c>
      <c r="CV49" t="s">
        <v>261</v>
      </c>
      <c r="CY49" s="24"/>
    </row>
    <row r="50" spans="1:103" x14ac:dyDescent="0.35">
      <c r="A50">
        <v>192</v>
      </c>
      <c r="B50" s="1">
        <v>56</v>
      </c>
      <c r="C50" t="s">
        <v>131</v>
      </c>
      <c r="D50">
        <v>2005</v>
      </c>
      <c r="E50" t="s">
        <v>815</v>
      </c>
      <c r="G50" t="s">
        <v>812</v>
      </c>
      <c r="H50">
        <v>1</v>
      </c>
      <c r="I50" t="s">
        <v>192</v>
      </c>
      <c r="J50">
        <v>53.082999999999998</v>
      </c>
      <c r="K50">
        <v>4.7830000000000004</v>
      </c>
      <c r="O50" t="s">
        <v>441</v>
      </c>
      <c r="P50" t="s">
        <v>182</v>
      </c>
      <c r="R50" t="s">
        <v>229</v>
      </c>
      <c r="T50" t="s">
        <v>354</v>
      </c>
      <c r="V50" t="s">
        <v>112</v>
      </c>
      <c r="W50" t="s">
        <v>812</v>
      </c>
      <c r="Y50" t="s">
        <v>87</v>
      </c>
      <c r="Z50" s="22"/>
      <c r="AA50" s="22"/>
      <c r="AQ50" t="s">
        <v>88</v>
      </c>
      <c r="AR50" t="s">
        <v>88</v>
      </c>
      <c r="AS50" t="s">
        <v>88</v>
      </c>
      <c r="AV50" t="s">
        <v>378</v>
      </c>
      <c r="AW50" t="s">
        <v>812</v>
      </c>
      <c r="AX50" t="s">
        <v>523</v>
      </c>
      <c r="AY50">
        <v>46100</v>
      </c>
      <c r="BA50">
        <v>45500</v>
      </c>
      <c r="BD50" t="s">
        <v>87</v>
      </c>
      <c r="BH50">
        <v>6.1</v>
      </c>
      <c r="BN50">
        <v>5.4</v>
      </c>
      <c r="BV50">
        <v>0.2</v>
      </c>
      <c r="BW50">
        <v>0.4</v>
      </c>
      <c r="BX50" t="s">
        <v>817</v>
      </c>
      <c r="BY50" t="s">
        <v>96</v>
      </c>
      <c r="BZ50" t="s">
        <v>95</v>
      </c>
      <c r="CC50">
        <v>55.2</v>
      </c>
      <c r="CU50" t="s">
        <v>261</v>
      </c>
      <c r="CV50" t="s">
        <v>261</v>
      </c>
      <c r="CY50" s="24"/>
    </row>
    <row r="51" spans="1:103" x14ac:dyDescent="0.35">
      <c r="A51">
        <v>193</v>
      </c>
      <c r="B51" s="1">
        <v>56</v>
      </c>
      <c r="C51" t="s">
        <v>131</v>
      </c>
      <c r="D51">
        <v>2005</v>
      </c>
      <c r="E51" t="s">
        <v>816</v>
      </c>
      <c r="G51" t="s">
        <v>812</v>
      </c>
      <c r="H51">
        <v>1</v>
      </c>
      <c r="I51" t="s">
        <v>192</v>
      </c>
      <c r="J51">
        <v>53.082999999999998</v>
      </c>
      <c r="K51">
        <v>4.7830000000000004</v>
      </c>
      <c r="O51" t="s">
        <v>441</v>
      </c>
      <c r="P51" t="s">
        <v>182</v>
      </c>
      <c r="R51" t="s">
        <v>229</v>
      </c>
      <c r="T51" t="s">
        <v>354</v>
      </c>
      <c r="V51" t="s">
        <v>112</v>
      </c>
      <c r="W51" t="s">
        <v>812</v>
      </c>
      <c r="Y51" t="s">
        <v>87</v>
      </c>
      <c r="Z51" s="22"/>
      <c r="AA51" s="22"/>
      <c r="AQ51" t="s">
        <v>88</v>
      </c>
      <c r="AR51" t="s">
        <v>88</v>
      </c>
      <c r="AS51" t="s">
        <v>88</v>
      </c>
      <c r="AV51" t="s">
        <v>378</v>
      </c>
      <c r="AW51" t="s">
        <v>812</v>
      </c>
      <c r="AX51" t="s">
        <v>366</v>
      </c>
      <c r="AY51">
        <v>10900</v>
      </c>
      <c r="BA51">
        <v>10300</v>
      </c>
      <c r="BD51" t="s">
        <v>87</v>
      </c>
      <c r="BH51">
        <v>-0.7</v>
      </c>
      <c r="BN51">
        <v>1.6</v>
      </c>
      <c r="BV51">
        <v>0.2</v>
      </c>
      <c r="BW51">
        <v>0.4</v>
      </c>
      <c r="BX51" t="s">
        <v>817</v>
      </c>
      <c r="BY51" t="s">
        <v>96</v>
      </c>
      <c r="BZ51" t="s">
        <v>95</v>
      </c>
      <c r="CC51">
        <v>223.2</v>
      </c>
      <c r="CQ51" t="s">
        <v>820</v>
      </c>
      <c r="CR51" t="s">
        <v>819</v>
      </c>
      <c r="CU51" t="s">
        <v>261</v>
      </c>
      <c r="CV51" t="s">
        <v>261</v>
      </c>
      <c r="CY51" s="24"/>
    </row>
    <row r="52" spans="1:103" x14ac:dyDescent="0.35">
      <c r="A52">
        <v>194</v>
      </c>
      <c r="B52" s="1">
        <v>57</v>
      </c>
      <c r="C52" t="s">
        <v>130</v>
      </c>
      <c r="D52">
        <v>2005</v>
      </c>
      <c r="E52" t="s">
        <v>476</v>
      </c>
      <c r="G52" t="s">
        <v>765</v>
      </c>
      <c r="H52">
        <v>1</v>
      </c>
      <c r="I52" t="s">
        <v>192</v>
      </c>
      <c r="J52">
        <v>53.082999999999998</v>
      </c>
      <c r="K52">
        <v>4.7830000000000004</v>
      </c>
      <c r="O52" t="s">
        <v>441</v>
      </c>
      <c r="P52" t="s">
        <v>182</v>
      </c>
      <c r="R52" t="s">
        <v>229</v>
      </c>
      <c r="T52" t="s">
        <v>354</v>
      </c>
      <c r="W52" t="s">
        <v>765</v>
      </c>
      <c r="Y52" t="s">
        <v>87</v>
      </c>
      <c r="Z52" s="22"/>
      <c r="AA52" s="22"/>
      <c r="AQ52" t="s">
        <v>88</v>
      </c>
      <c r="AR52" t="s">
        <v>88</v>
      </c>
      <c r="AS52" t="s">
        <v>88</v>
      </c>
      <c r="AV52" t="s">
        <v>235</v>
      </c>
      <c r="AW52" t="s">
        <v>765</v>
      </c>
      <c r="AX52" t="s">
        <v>359</v>
      </c>
      <c r="AY52">
        <v>1190000</v>
      </c>
      <c r="BA52">
        <v>11550000</v>
      </c>
      <c r="BD52" t="s">
        <v>87</v>
      </c>
      <c r="BE52">
        <v>70.8</v>
      </c>
      <c r="BF52" s="36">
        <v>65.7</v>
      </c>
      <c r="BG52">
        <v>5.0999999999999996</v>
      </c>
      <c r="BH52">
        <v>7.2</v>
      </c>
      <c r="BK52">
        <v>59.8</v>
      </c>
      <c r="BL52" s="36">
        <v>53.1</v>
      </c>
      <c r="BM52">
        <v>6.7</v>
      </c>
      <c r="BN52" s="36">
        <v>11.2</v>
      </c>
      <c r="BP52">
        <v>13124</v>
      </c>
      <c r="BV52">
        <v>0.2</v>
      </c>
      <c r="BX52" t="s">
        <v>766</v>
      </c>
      <c r="BY52" t="s">
        <v>96</v>
      </c>
      <c r="BZ52" t="s">
        <v>95</v>
      </c>
      <c r="CC52">
        <v>57.6</v>
      </c>
      <c r="CD52">
        <v>91.25</v>
      </c>
      <c r="CI52" t="s">
        <v>767</v>
      </c>
      <c r="CQ52" t="s">
        <v>769</v>
      </c>
      <c r="CR52" t="s">
        <v>768</v>
      </c>
      <c r="CY52" s="24" t="s">
        <v>799</v>
      </c>
    </row>
    <row r="53" spans="1:103" x14ac:dyDescent="0.35">
      <c r="A53">
        <v>195</v>
      </c>
      <c r="B53" s="1">
        <v>58</v>
      </c>
      <c r="C53" t="s">
        <v>168</v>
      </c>
      <c r="D53">
        <v>2005</v>
      </c>
      <c r="E53" t="s">
        <v>486</v>
      </c>
      <c r="G53" t="s">
        <v>274</v>
      </c>
      <c r="H53">
        <v>5</v>
      </c>
      <c r="I53" t="s">
        <v>197</v>
      </c>
      <c r="O53" t="s">
        <v>267</v>
      </c>
      <c r="Q53">
        <v>0</v>
      </c>
      <c r="R53" t="s">
        <v>220</v>
      </c>
      <c r="S53" s="24" t="s">
        <v>82</v>
      </c>
      <c r="T53" t="s">
        <v>337</v>
      </c>
      <c r="W53" s="30" t="s">
        <v>274</v>
      </c>
      <c r="Y53" t="s">
        <v>87</v>
      </c>
      <c r="Z53" s="22">
        <v>0.13</v>
      </c>
      <c r="AA53" s="22">
        <v>7.0000000000000007E-2</v>
      </c>
      <c r="AB53" s="36">
        <v>46.15</v>
      </c>
      <c r="AC53" t="s">
        <v>277</v>
      </c>
      <c r="AQ53" t="s">
        <v>87</v>
      </c>
      <c r="AR53" t="s">
        <v>88</v>
      </c>
      <c r="AS53" t="s">
        <v>87</v>
      </c>
      <c r="AV53" t="s">
        <v>378</v>
      </c>
      <c r="AW53" s="30" t="s">
        <v>274</v>
      </c>
      <c r="BD53" t="s">
        <v>83</v>
      </c>
      <c r="BG53">
        <v>2.83</v>
      </c>
      <c r="BP53">
        <v>10000</v>
      </c>
      <c r="BQ53">
        <v>300</v>
      </c>
      <c r="BR53" s="36">
        <v>0.3</v>
      </c>
      <c r="BW53" t="s">
        <v>276</v>
      </c>
      <c r="BY53" t="s">
        <v>95</v>
      </c>
      <c r="CC53">
        <v>86</v>
      </c>
      <c r="CD53">
        <v>77</v>
      </c>
      <c r="CQ53" s="24"/>
      <c r="CU53" t="s">
        <v>261</v>
      </c>
      <c r="CV53" t="s">
        <v>261</v>
      </c>
      <c r="CY53" s="24" t="s">
        <v>895</v>
      </c>
    </row>
    <row r="54" spans="1:103" x14ac:dyDescent="0.35">
      <c r="A54">
        <v>196</v>
      </c>
      <c r="B54" s="1">
        <v>58</v>
      </c>
      <c r="C54" t="s">
        <v>168</v>
      </c>
      <c r="D54">
        <v>2005</v>
      </c>
      <c r="E54" t="s">
        <v>485</v>
      </c>
      <c r="G54" t="s">
        <v>274</v>
      </c>
      <c r="H54">
        <v>5</v>
      </c>
      <c r="I54" t="s">
        <v>197</v>
      </c>
      <c r="O54" t="s">
        <v>267</v>
      </c>
      <c r="Q54">
        <v>0</v>
      </c>
      <c r="R54" t="s">
        <v>220</v>
      </c>
      <c r="S54" s="24" t="s">
        <v>82</v>
      </c>
      <c r="T54" t="s">
        <v>337</v>
      </c>
      <c r="W54" s="30" t="s">
        <v>274</v>
      </c>
      <c r="Y54" t="s">
        <v>87</v>
      </c>
      <c r="Z54" s="22">
        <v>7.0000000000000007E-2</v>
      </c>
      <c r="AA54" s="22">
        <v>7.0000000000000007E-2</v>
      </c>
      <c r="AB54" s="36">
        <v>0</v>
      </c>
      <c r="AC54" t="s">
        <v>277</v>
      </c>
      <c r="AQ54" t="s">
        <v>87</v>
      </c>
      <c r="AR54" t="s">
        <v>88</v>
      </c>
      <c r="AS54" t="s">
        <v>87</v>
      </c>
      <c r="AV54" t="s">
        <v>378</v>
      </c>
      <c r="AW54" s="30" t="s">
        <v>274</v>
      </c>
      <c r="BD54" t="s">
        <v>83</v>
      </c>
      <c r="BG54">
        <v>4.91</v>
      </c>
      <c r="BP54">
        <v>6500</v>
      </c>
      <c r="BQ54">
        <v>880</v>
      </c>
      <c r="BR54" s="36">
        <v>7.0000000000000007E-2</v>
      </c>
      <c r="BW54" t="s">
        <v>276</v>
      </c>
      <c r="BY54" t="s">
        <v>95</v>
      </c>
      <c r="CC54">
        <v>14</v>
      </c>
      <c r="CD54">
        <v>657</v>
      </c>
      <c r="CQ54" s="24"/>
      <c r="CU54" t="s">
        <v>261</v>
      </c>
      <c r="CV54" t="s">
        <v>261</v>
      </c>
      <c r="CY54" s="24" t="s">
        <v>895</v>
      </c>
    </row>
    <row r="55" spans="1:103" x14ac:dyDescent="0.35">
      <c r="A55">
        <v>197</v>
      </c>
      <c r="B55" s="1">
        <v>58</v>
      </c>
      <c r="C55" t="s">
        <v>168</v>
      </c>
      <c r="D55">
        <v>2005</v>
      </c>
      <c r="E55" t="s">
        <v>484</v>
      </c>
      <c r="G55" t="s">
        <v>275</v>
      </c>
      <c r="H55">
        <v>10</v>
      </c>
      <c r="I55" t="s">
        <v>197</v>
      </c>
      <c r="O55" t="s">
        <v>267</v>
      </c>
      <c r="Q55">
        <v>0</v>
      </c>
      <c r="R55" t="s">
        <v>220</v>
      </c>
      <c r="S55" s="24" t="s">
        <v>82</v>
      </c>
      <c r="T55" t="s">
        <v>337</v>
      </c>
      <c r="W55" s="30" t="s">
        <v>275</v>
      </c>
      <c r="Y55" t="s">
        <v>87</v>
      </c>
      <c r="Z55" s="22">
        <v>0.13</v>
      </c>
      <c r="AA55" s="22">
        <v>0.11</v>
      </c>
      <c r="AB55" s="36">
        <v>15.38</v>
      </c>
      <c r="AC55" t="s">
        <v>277</v>
      </c>
      <c r="AQ55" t="s">
        <v>87</v>
      </c>
      <c r="AR55" t="s">
        <v>88</v>
      </c>
      <c r="AS55" t="s">
        <v>87</v>
      </c>
      <c r="AV55" t="s">
        <v>378</v>
      </c>
      <c r="AW55" s="30" t="s">
        <v>275</v>
      </c>
      <c r="BD55" t="s">
        <v>83</v>
      </c>
      <c r="BG55">
        <v>1.68</v>
      </c>
      <c r="BP55">
        <v>7500</v>
      </c>
      <c r="BQ55">
        <v>380</v>
      </c>
      <c r="BR55" s="36">
        <v>0.2</v>
      </c>
      <c r="BW55" t="s">
        <v>276</v>
      </c>
      <c r="BY55" t="s">
        <v>96</v>
      </c>
      <c r="CC55">
        <v>62</v>
      </c>
      <c r="CD55">
        <v>139</v>
      </c>
      <c r="CQ55" s="24"/>
      <c r="CU55" t="s">
        <v>261</v>
      </c>
      <c r="CV55" t="s">
        <v>261</v>
      </c>
      <c r="CY55" s="24" t="s">
        <v>895</v>
      </c>
    </row>
    <row r="56" spans="1:103" x14ac:dyDescent="0.35">
      <c r="A56">
        <v>2</v>
      </c>
      <c r="B56" s="1">
        <v>60</v>
      </c>
      <c r="C56" t="s">
        <v>144</v>
      </c>
      <c r="D56">
        <v>2004</v>
      </c>
      <c r="E56" t="s">
        <v>70</v>
      </c>
      <c r="G56" t="s">
        <v>614</v>
      </c>
      <c r="H56">
        <v>4</v>
      </c>
      <c r="I56" t="s">
        <v>69</v>
      </c>
      <c r="J56" s="14">
        <v>26.632999999999999</v>
      </c>
      <c r="K56" s="14">
        <v>-80.417000000000002</v>
      </c>
      <c r="O56" t="s">
        <v>80</v>
      </c>
      <c r="R56" t="s">
        <v>220</v>
      </c>
      <c r="S56" s="24" t="s">
        <v>82</v>
      </c>
      <c r="T56" t="s">
        <v>338</v>
      </c>
      <c r="W56" t="s">
        <v>614</v>
      </c>
      <c r="Z56" s="22">
        <v>0.14599999999999999</v>
      </c>
      <c r="AA56" s="22">
        <v>4.4999999999999998E-2</v>
      </c>
      <c r="AB56" s="36">
        <v>69.19</v>
      </c>
      <c r="AC56" t="s">
        <v>107</v>
      </c>
      <c r="AD56">
        <v>0.111</v>
      </c>
      <c r="AE56">
        <v>0.154</v>
      </c>
      <c r="AG56">
        <v>2.5000000000000001E-2</v>
      </c>
      <c r="AH56">
        <v>5.2999999999999999E-2</v>
      </c>
      <c r="AQ56" t="s">
        <v>87</v>
      </c>
      <c r="AR56" t="s">
        <v>87</v>
      </c>
      <c r="AS56" t="s">
        <v>87</v>
      </c>
      <c r="AW56" t="s">
        <v>614</v>
      </c>
      <c r="AY56" t="s">
        <v>640</v>
      </c>
      <c r="BA56" t="s">
        <v>642</v>
      </c>
      <c r="BE56" t="s">
        <v>641</v>
      </c>
      <c r="BG56" t="s">
        <v>643</v>
      </c>
      <c r="BH56">
        <v>71</v>
      </c>
      <c r="BT56">
        <v>5</v>
      </c>
      <c r="BU56">
        <v>0.56999999999999995</v>
      </c>
      <c r="BX56" t="s">
        <v>633</v>
      </c>
      <c r="BY56" t="s">
        <v>96</v>
      </c>
      <c r="BZ56" t="s">
        <v>95</v>
      </c>
      <c r="CC56">
        <v>408</v>
      </c>
      <c r="CD56">
        <v>12.41</v>
      </c>
      <c r="CQ56" t="s">
        <v>615</v>
      </c>
      <c r="CY56" s="24" t="s">
        <v>876</v>
      </c>
    </row>
    <row r="57" spans="1:103" x14ac:dyDescent="0.35">
      <c r="A57">
        <v>21</v>
      </c>
      <c r="B57" s="1">
        <v>61</v>
      </c>
      <c r="C57" t="s">
        <v>172</v>
      </c>
      <c r="D57">
        <v>2005</v>
      </c>
      <c r="E57" t="s">
        <v>477</v>
      </c>
      <c r="G57" t="s">
        <v>305</v>
      </c>
      <c r="H57">
        <v>3</v>
      </c>
      <c r="I57" t="s">
        <v>194</v>
      </c>
      <c r="N57">
        <v>700</v>
      </c>
      <c r="O57" t="s">
        <v>304</v>
      </c>
      <c r="Q57" t="s">
        <v>306</v>
      </c>
      <c r="R57" t="s">
        <v>220</v>
      </c>
      <c r="S57" s="24" t="s">
        <v>82</v>
      </c>
      <c r="T57" t="s">
        <v>235</v>
      </c>
      <c r="V57" t="s">
        <v>187</v>
      </c>
      <c r="W57" s="30" t="s">
        <v>305</v>
      </c>
      <c r="Y57" t="s">
        <v>87</v>
      </c>
      <c r="Z57" s="22">
        <v>0.27</v>
      </c>
      <c r="AA57" s="22"/>
      <c r="AQ57" t="s">
        <v>87</v>
      </c>
      <c r="AR57" t="s">
        <v>88</v>
      </c>
      <c r="AS57" t="s">
        <v>87</v>
      </c>
      <c r="AV57" t="s">
        <v>235</v>
      </c>
      <c r="AW57" s="30" t="s">
        <v>305</v>
      </c>
      <c r="AX57" t="s">
        <v>523</v>
      </c>
      <c r="BD57" t="s">
        <v>83</v>
      </c>
      <c r="BE57">
        <v>225</v>
      </c>
      <c r="BF57" s="36">
        <v>182.6</v>
      </c>
      <c r="BG57">
        <v>42.4</v>
      </c>
      <c r="BH57" s="36">
        <v>18.84</v>
      </c>
      <c r="BP57">
        <v>900</v>
      </c>
      <c r="BQ57">
        <v>150</v>
      </c>
      <c r="BR57">
        <v>0.06</v>
      </c>
      <c r="BS57">
        <v>2</v>
      </c>
      <c r="BT57">
        <v>2</v>
      </c>
      <c r="BV57">
        <v>0.25</v>
      </c>
      <c r="BW57">
        <v>0.5</v>
      </c>
      <c r="BX57" t="s">
        <v>620</v>
      </c>
      <c r="BY57" t="s">
        <v>96</v>
      </c>
      <c r="CC57">
        <v>4</v>
      </c>
      <c r="CD57">
        <v>840</v>
      </c>
      <c r="CI57" t="s">
        <v>309</v>
      </c>
      <c r="CM57" s="28" t="s">
        <v>307</v>
      </c>
      <c r="CY57" s="24" t="s">
        <v>892</v>
      </c>
    </row>
    <row r="58" spans="1:103" x14ac:dyDescent="0.35">
      <c r="A58">
        <v>22</v>
      </c>
      <c r="B58" s="1">
        <v>62</v>
      </c>
      <c r="C58" t="s">
        <v>65</v>
      </c>
      <c r="D58">
        <v>2015</v>
      </c>
      <c r="E58" t="s">
        <v>66</v>
      </c>
      <c r="G58" s="30" t="s">
        <v>67</v>
      </c>
      <c r="H58">
        <v>6</v>
      </c>
      <c r="I58" t="s">
        <v>69</v>
      </c>
      <c r="J58" s="14">
        <v>26.654</v>
      </c>
      <c r="K58" s="14">
        <v>-80.334999999999994</v>
      </c>
      <c r="M58" s="15">
        <v>23.1458333333333</v>
      </c>
      <c r="N58" s="13">
        <v>1457</v>
      </c>
      <c r="O58" s="29" t="s">
        <v>80</v>
      </c>
      <c r="P58" s="16"/>
      <c r="Q58" s="18">
        <v>16</v>
      </c>
      <c r="R58" t="s">
        <v>81</v>
      </c>
      <c r="S58" s="24" t="s">
        <v>82</v>
      </c>
      <c r="T58" t="s">
        <v>230</v>
      </c>
      <c r="V58" t="s">
        <v>112</v>
      </c>
      <c r="W58" s="30" t="s">
        <v>67</v>
      </c>
      <c r="X58" t="s">
        <v>238</v>
      </c>
      <c r="Y58" t="s">
        <v>87</v>
      </c>
      <c r="Z58" s="14">
        <v>0.18099999999999999</v>
      </c>
      <c r="AA58" s="22"/>
      <c r="AC58" t="s">
        <v>107</v>
      </c>
      <c r="AQ58" t="s">
        <v>87</v>
      </c>
      <c r="AR58" t="s">
        <v>87</v>
      </c>
      <c r="AS58" t="s">
        <v>88</v>
      </c>
      <c r="AV58" t="s">
        <v>235</v>
      </c>
      <c r="AW58" s="30" t="s">
        <v>67</v>
      </c>
      <c r="BC58" t="s">
        <v>237</v>
      </c>
      <c r="BE58" s="17"/>
      <c r="BF58" s="19"/>
      <c r="BG58" s="17">
        <v>9</v>
      </c>
      <c r="BH58" s="17"/>
      <c r="BI58" s="17"/>
      <c r="BJ58" s="17"/>
      <c r="BP58" s="13">
        <v>20830000</v>
      </c>
      <c r="BS58">
        <v>3</v>
      </c>
      <c r="BT58">
        <v>8</v>
      </c>
      <c r="BU58">
        <v>40</v>
      </c>
      <c r="BX58" t="s">
        <v>666</v>
      </c>
      <c r="BY58" t="s">
        <v>95</v>
      </c>
      <c r="BZ58" t="s">
        <v>96</v>
      </c>
      <c r="CA58">
        <v>53</v>
      </c>
      <c r="CB58">
        <v>39</v>
      </c>
      <c r="CD58" s="15">
        <v>6.2779999999999996</v>
      </c>
      <c r="CH58" t="s">
        <v>104</v>
      </c>
      <c r="CI58" t="s">
        <v>99</v>
      </c>
      <c r="CJ58" t="s">
        <v>110</v>
      </c>
      <c r="CP58" t="s">
        <v>83</v>
      </c>
      <c r="CR58" t="s">
        <v>83</v>
      </c>
      <c r="CS58" t="s">
        <v>83</v>
      </c>
    </row>
    <row r="59" spans="1:103" x14ac:dyDescent="0.35">
      <c r="A59">
        <v>23</v>
      </c>
      <c r="B59" s="1">
        <v>62</v>
      </c>
      <c r="C59" t="s">
        <v>65</v>
      </c>
      <c r="D59">
        <v>2015</v>
      </c>
      <c r="E59" t="s">
        <v>70</v>
      </c>
      <c r="G59" s="29" t="s">
        <v>75</v>
      </c>
      <c r="H59">
        <v>17</v>
      </c>
      <c r="I59" t="s">
        <v>69</v>
      </c>
      <c r="J59" s="14">
        <v>26.641999999999999</v>
      </c>
      <c r="K59" s="14">
        <v>-80.424999999999997</v>
      </c>
      <c r="M59" s="15">
        <v>23.033333333333299</v>
      </c>
      <c r="N59" s="13">
        <v>1429</v>
      </c>
      <c r="O59" s="29" t="s">
        <v>80</v>
      </c>
      <c r="P59" s="16"/>
      <c r="Q59" s="18">
        <v>15</v>
      </c>
      <c r="R59" t="s">
        <v>81</v>
      </c>
      <c r="S59" s="24" t="s">
        <v>82</v>
      </c>
      <c r="T59" t="s">
        <v>230</v>
      </c>
      <c r="V59" t="s">
        <v>112</v>
      </c>
      <c r="W59" s="29" t="s">
        <v>75</v>
      </c>
      <c r="X59" t="s">
        <v>238</v>
      </c>
      <c r="Y59" t="s">
        <v>87</v>
      </c>
      <c r="Z59" s="14">
        <v>0.17199999999999999</v>
      </c>
      <c r="AA59" s="22"/>
      <c r="AC59" t="s">
        <v>107</v>
      </c>
      <c r="AQ59" t="s">
        <v>87</v>
      </c>
      <c r="AR59" t="s">
        <v>87</v>
      </c>
      <c r="AS59" t="s">
        <v>88</v>
      </c>
      <c r="AV59" t="s">
        <v>235</v>
      </c>
      <c r="AW59" s="29" t="s">
        <v>75</v>
      </c>
      <c r="AX59" s="13"/>
      <c r="BC59" t="s">
        <v>237</v>
      </c>
      <c r="BE59" s="17"/>
      <c r="BF59" s="19"/>
      <c r="BG59" s="17">
        <v>1.3</v>
      </c>
      <c r="BH59" s="17"/>
      <c r="BI59" s="17">
        <v>14.3</v>
      </c>
      <c r="BJ59" s="17"/>
      <c r="BP59" s="13">
        <v>27010000</v>
      </c>
      <c r="BS59">
        <v>3</v>
      </c>
      <c r="BT59">
        <v>8</v>
      </c>
      <c r="BU59">
        <v>40</v>
      </c>
      <c r="BX59" t="s">
        <v>666</v>
      </c>
      <c r="BY59" t="s">
        <v>95</v>
      </c>
      <c r="BZ59" t="s">
        <v>96</v>
      </c>
      <c r="CA59">
        <v>57</v>
      </c>
      <c r="CB59">
        <v>30</v>
      </c>
      <c r="CD59" s="15">
        <v>11.205499999999999</v>
      </c>
      <c r="CH59" t="s">
        <v>104</v>
      </c>
      <c r="CI59" t="s">
        <v>100</v>
      </c>
      <c r="CJ59" t="s">
        <v>110</v>
      </c>
      <c r="CP59" t="s">
        <v>83</v>
      </c>
      <c r="CR59" t="s">
        <v>83</v>
      </c>
      <c r="CS59" t="s">
        <v>83</v>
      </c>
    </row>
    <row r="60" spans="1:103" x14ac:dyDescent="0.35">
      <c r="A60">
        <v>24</v>
      </c>
      <c r="B60" s="1">
        <v>62</v>
      </c>
      <c r="C60" t="s">
        <v>65</v>
      </c>
      <c r="D60">
        <v>2015</v>
      </c>
      <c r="E60" t="s">
        <v>71</v>
      </c>
      <c r="G60" s="29" t="s">
        <v>76</v>
      </c>
      <c r="H60">
        <v>10</v>
      </c>
      <c r="I60" t="s">
        <v>69</v>
      </c>
      <c r="J60" s="14">
        <v>26.397279999999999</v>
      </c>
      <c r="K60" s="14">
        <v>-80.524259999999998</v>
      </c>
      <c r="M60" s="15">
        <v>23.258333333333301</v>
      </c>
      <c r="N60" s="13">
        <v>1455</v>
      </c>
      <c r="O60" s="29" t="s">
        <v>80</v>
      </c>
      <c r="P60" s="16"/>
      <c r="Q60" s="18">
        <v>31</v>
      </c>
      <c r="R60" t="s">
        <v>81</v>
      </c>
      <c r="S60" s="24" t="s">
        <v>82</v>
      </c>
      <c r="T60" t="s">
        <v>230</v>
      </c>
      <c r="V60" t="s">
        <v>112</v>
      </c>
      <c r="W60" s="29" t="s">
        <v>76</v>
      </c>
      <c r="X60" t="s">
        <v>238</v>
      </c>
      <c r="Y60" t="s">
        <v>87</v>
      </c>
      <c r="Z60" s="14">
        <v>0.104</v>
      </c>
      <c r="AA60" s="22">
        <v>2.3E-2</v>
      </c>
      <c r="AB60" s="36">
        <v>77.88</v>
      </c>
      <c r="AC60" t="s">
        <v>107</v>
      </c>
      <c r="AQ60" t="s">
        <v>87</v>
      </c>
      <c r="AR60" t="s">
        <v>87</v>
      </c>
      <c r="AS60" t="s">
        <v>88</v>
      </c>
      <c r="AV60" t="s">
        <v>235</v>
      </c>
      <c r="AW60" s="29" t="s">
        <v>76</v>
      </c>
      <c r="AX60" s="13"/>
      <c r="BC60" t="s">
        <v>237</v>
      </c>
      <c r="BE60" s="17"/>
      <c r="BF60" s="19"/>
      <c r="BG60" s="17">
        <v>0.96</v>
      </c>
      <c r="BH60" s="17">
        <v>76</v>
      </c>
      <c r="BI60" s="17">
        <v>18.5</v>
      </c>
      <c r="BJ60" s="17"/>
      <c r="BP60" s="13">
        <v>33370000</v>
      </c>
      <c r="BS60">
        <v>1</v>
      </c>
      <c r="BT60">
        <v>4</v>
      </c>
      <c r="BU60">
        <v>40</v>
      </c>
      <c r="BX60" t="s">
        <v>666</v>
      </c>
      <c r="BY60" t="s">
        <v>96</v>
      </c>
      <c r="BZ60" t="s">
        <v>95</v>
      </c>
      <c r="CA60">
        <v>60</v>
      </c>
      <c r="CB60">
        <v>39</v>
      </c>
      <c r="CD60" s="15">
        <v>12.045</v>
      </c>
      <c r="CH60" t="s">
        <v>104</v>
      </c>
      <c r="CI60" t="s">
        <v>101</v>
      </c>
      <c r="CJ60" t="s">
        <v>110</v>
      </c>
      <c r="CP60" t="s">
        <v>83</v>
      </c>
      <c r="CR60" t="s">
        <v>83</v>
      </c>
      <c r="CS60" t="s">
        <v>83</v>
      </c>
      <c r="CY60" s="24" t="s">
        <v>798</v>
      </c>
    </row>
    <row r="61" spans="1:103" x14ac:dyDescent="0.35">
      <c r="A61">
        <v>25</v>
      </c>
      <c r="B61" s="1">
        <v>62</v>
      </c>
      <c r="C61" t="s">
        <v>65</v>
      </c>
      <c r="D61">
        <v>2015</v>
      </c>
      <c r="E61" t="s">
        <v>72</v>
      </c>
      <c r="G61" s="29" t="s">
        <v>77</v>
      </c>
      <c r="H61">
        <v>6</v>
      </c>
      <c r="I61" t="s">
        <v>69</v>
      </c>
      <c r="J61" s="14">
        <v>26.36627</v>
      </c>
      <c r="K61" s="14">
        <v>-80.638739999999999</v>
      </c>
      <c r="M61" s="15">
        <v>23.204166666666701</v>
      </c>
      <c r="N61" s="13">
        <v>1418</v>
      </c>
      <c r="O61" s="29" t="s">
        <v>80</v>
      </c>
      <c r="P61" s="16"/>
      <c r="Q61" s="18">
        <v>15</v>
      </c>
      <c r="R61" t="s">
        <v>81</v>
      </c>
      <c r="S61" s="24" t="s">
        <v>82</v>
      </c>
      <c r="T61" t="s">
        <v>230</v>
      </c>
      <c r="V61" t="s">
        <v>112</v>
      </c>
      <c r="W61" s="29" t="s">
        <v>77</v>
      </c>
      <c r="X61" t="s">
        <v>238</v>
      </c>
      <c r="Y61" t="s">
        <v>87</v>
      </c>
      <c r="Z61" s="14">
        <v>0.115</v>
      </c>
      <c r="AA61" s="22">
        <v>1.7000000000000001E-2</v>
      </c>
      <c r="AB61" s="36">
        <v>85.22</v>
      </c>
      <c r="AC61" t="s">
        <v>107</v>
      </c>
      <c r="AQ61" t="s">
        <v>87</v>
      </c>
      <c r="AR61" t="s">
        <v>87</v>
      </c>
      <c r="AS61" t="s">
        <v>88</v>
      </c>
      <c r="AV61" t="s">
        <v>235</v>
      </c>
      <c r="AW61" s="29" t="s">
        <v>77</v>
      </c>
      <c r="AX61" s="13"/>
      <c r="BC61" t="s">
        <v>237</v>
      </c>
      <c r="BE61" s="17"/>
      <c r="BF61" s="19"/>
      <c r="BG61" s="17">
        <v>0.97</v>
      </c>
      <c r="BH61" s="17">
        <v>84</v>
      </c>
      <c r="BI61" s="17">
        <v>19.2</v>
      </c>
      <c r="BJ61" s="17"/>
      <c r="BP61" s="13">
        <v>67000000</v>
      </c>
      <c r="BS61">
        <v>2</v>
      </c>
      <c r="BT61">
        <v>6</v>
      </c>
      <c r="BU61">
        <v>40</v>
      </c>
      <c r="BX61" t="s">
        <v>666</v>
      </c>
      <c r="BY61" t="s">
        <v>96</v>
      </c>
      <c r="BZ61" t="s">
        <v>95</v>
      </c>
      <c r="CA61">
        <v>51</v>
      </c>
      <c r="CB61">
        <v>33</v>
      </c>
      <c r="CD61" s="15">
        <v>10.074</v>
      </c>
      <c r="CH61" t="s">
        <v>104</v>
      </c>
      <c r="CI61" t="s">
        <v>102</v>
      </c>
      <c r="CJ61" t="s">
        <v>110</v>
      </c>
      <c r="CP61" t="s">
        <v>83</v>
      </c>
      <c r="CR61" t="s">
        <v>83</v>
      </c>
      <c r="CS61" t="s">
        <v>83</v>
      </c>
      <c r="CY61" s="24" t="s">
        <v>798</v>
      </c>
    </row>
    <row r="62" spans="1:103" x14ac:dyDescent="0.35">
      <c r="A62">
        <v>26</v>
      </c>
      <c r="B62" s="1">
        <v>62</v>
      </c>
      <c r="C62" t="s">
        <v>65</v>
      </c>
      <c r="D62">
        <v>2015</v>
      </c>
      <c r="E62" t="s">
        <v>73</v>
      </c>
      <c r="G62" s="29" t="s">
        <v>78</v>
      </c>
      <c r="H62">
        <v>11</v>
      </c>
      <c r="I62" t="s">
        <v>69</v>
      </c>
      <c r="J62" s="14">
        <v>26.443999999999999</v>
      </c>
      <c r="K62" s="14">
        <v>-80.903660000000002</v>
      </c>
      <c r="M62" s="15">
        <v>22.995833333333302</v>
      </c>
      <c r="N62" s="13">
        <v>1330</v>
      </c>
      <c r="O62" s="29" t="s">
        <v>80</v>
      </c>
      <c r="P62" s="16"/>
      <c r="Q62" s="18">
        <v>15</v>
      </c>
      <c r="R62" t="s">
        <v>81</v>
      </c>
      <c r="S62" s="24" t="s">
        <v>82</v>
      </c>
      <c r="T62" t="s">
        <v>230</v>
      </c>
      <c r="V62" t="s">
        <v>112</v>
      </c>
      <c r="W62" s="29" t="s">
        <v>78</v>
      </c>
      <c r="X62" t="s">
        <v>238</v>
      </c>
      <c r="Y62" t="s">
        <v>87</v>
      </c>
      <c r="Z62" s="14">
        <v>0.22800000000000001</v>
      </c>
      <c r="AA62" s="22">
        <v>9.4E-2</v>
      </c>
      <c r="AB62" s="36">
        <v>58.77</v>
      </c>
      <c r="AC62" t="s">
        <v>107</v>
      </c>
      <c r="AQ62" t="s">
        <v>87</v>
      </c>
      <c r="AR62" t="s">
        <v>87</v>
      </c>
      <c r="AS62" t="s">
        <v>88</v>
      </c>
      <c r="AV62" t="s">
        <v>235</v>
      </c>
      <c r="AW62" s="29" t="s">
        <v>78</v>
      </c>
      <c r="AX62" s="13"/>
      <c r="BC62" t="s">
        <v>237</v>
      </c>
      <c r="BE62" s="17"/>
      <c r="BF62" s="19"/>
      <c r="BG62" s="17">
        <v>1.1499999999999999</v>
      </c>
      <c r="BH62" s="17">
        <v>63</v>
      </c>
      <c r="BI62" s="17">
        <v>7.5</v>
      </c>
      <c r="BJ62" s="17"/>
      <c r="BP62" s="13">
        <v>24680000</v>
      </c>
      <c r="BS62">
        <v>2</v>
      </c>
      <c r="BT62">
        <v>6</v>
      </c>
      <c r="BU62">
        <v>40</v>
      </c>
      <c r="BX62" t="s">
        <v>666</v>
      </c>
      <c r="BY62" t="s">
        <v>96</v>
      </c>
      <c r="BZ62" t="s">
        <v>95</v>
      </c>
      <c r="CA62">
        <v>52</v>
      </c>
      <c r="CB62">
        <v>42</v>
      </c>
      <c r="CD62" s="15">
        <v>8.2855000000000008</v>
      </c>
      <c r="CH62" t="s">
        <v>104</v>
      </c>
      <c r="CI62" t="s">
        <v>103</v>
      </c>
      <c r="CJ62" t="s">
        <v>110</v>
      </c>
      <c r="CP62" t="s">
        <v>83</v>
      </c>
      <c r="CR62" t="s">
        <v>83</v>
      </c>
      <c r="CS62" t="s">
        <v>83</v>
      </c>
      <c r="CY62" s="24" t="s">
        <v>798</v>
      </c>
    </row>
    <row r="63" spans="1:103" x14ac:dyDescent="0.35">
      <c r="A63">
        <v>27</v>
      </c>
      <c r="B63" s="1">
        <v>62</v>
      </c>
      <c r="C63" t="s">
        <v>65</v>
      </c>
      <c r="D63">
        <v>2015</v>
      </c>
      <c r="E63" t="s">
        <v>74</v>
      </c>
      <c r="G63" s="29" t="s">
        <v>79</v>
      </c>
      <c r="H63">
        <v>13</v>
      </c>
      <c r="I63" t="s">
        <v>69</v>
      </c>
      <c r="J63" s="14">
        <v>26.34881</v>
      </c>
      <c r="K63" s="14">
        <v>-80.886930000000007</v>
      </c>
      <c r="M63" s="15">
        <v>23.0416666666667</v>
      </c>
      <c r="N63" s="13">
        <v>1352</v>
      </c>
      <c r="O63" s="29" t="s">
        <v>80</v>
      </c>
      <c r="P63" s="16"/>
      <c r="Q63" s="18">
        <v>15</v>
      </c>
      <c r="R63" t="s">
        <v>81</v>
      </c>
      <c r="S63" s="24" t="s">
        <v>82</v>
      </c>
      <c r="T63" t="s">
        <v>230</v>
      </c>
      <c r="V63" t="s">
        <v>112</v>
      </c>
      <c r="W63" s="29" t="s">
        <v>79</v>
      </c>
      <c r="X63" t="s">
        <v>238</v>
      </c>
      <c r="Y63" t="s">
        <v>87</v>
      </c>
      <c r="Z63" s="14">
        <v>0.10199999999999999</v>
      </c>
      <c r="AA63" s="22">
        <v>3.3000000000000002E-2</v>
      </c>
      <c r="AB63" s="36">
        <v>67.650000000000006</v>
      </c>
      <c r="AC63" t="s">
        <v>107</v>
      </c>
      <c r="AQ63" t="s">
        <v>87</v>
      </c>
      <c r="AR63" t="s">
        <v>87</v>
      </c>
      <c r="AS63" t="s">
        <v>88</v>
      </c>
      <c r="AV63" t="s">
        <v>235</v>
      </c>
      <c r="AW63" s="29" t="s">
        <v>79</v>
      </c>
      <c r="AX63" s="13"/>
      <c r="BC63" t="s">
        <v>237</v>
      </c>
      <c r="BE63" s="17"/>
      <c r="BF63" s="19"/>
      <c r="BG63" s="17">
        <v>1.05</v>
      </c>
      <c r="BH63" s="17">
        <v>82</v>
      </c>
      <c r="BI63" s="17">
        <v>17.899999999999999</v>
      </c>
      <c r="BJ63" s="17"/>
      <c r="BP63" s="13">
        <v>9230000</v>
      </c>
      <c r="BS63">
        <v>1</v>
      </c>
      <c r="BT63">
        <v>3</v>
      </c>
      <c r="BU63">
        <v>40</v>
      </c>
      <c r="BX63" t="s">
        <v>666</v>
      </c>
      <c r="BY63" t="s">
        <v>96</v>
      </c>
      <c r="BZ63" t="s">
        <v>95</v>
      </c>
      <c r="CA63">
        <v>73</v>
      </c>
      <c r="CB63">
        <v>15</v>
      </c>
      <c r="CD63" s="15">
        <v>13.943</v>
      </c>
      <c r="CH63" t="s">
        <v>104</v>
      </c>
      <c r="CI63" t="s">
        <v>103</v>
      </c>
      <c r="CJ63" t="s">
        <v>110</v>
      </c>
      <c r="CK63" t="s">
        <v>92</v>
      </c>
      <c r="CP63" t="s">
        <v>83</v>
      </c>
      <c r="CR63" t="s">
        <v>83</v>
      </c>
      <c r="CS63" t="s">
        <v>83</v>
      </c>
      <c r="CY63" s="24" t="s">
        <v>798</v>
      </c>
    </row>
    <row r="64" spans="1:103" x14ac:dyDescent="0.35">
      <c r="A64">
        <v>31</v>
      </c>
      <c r="B64" s="1">
        <v>65</v>
      </c>
      <c r="C64" s="43" t="s">
        <v>108</v>
      </c>
      <c r="D64">
        <v>2012</v>
      </c>
      <c r="E64" t="s">
        <v>734</v>
      </c>
      <c r="G64" s="29">
        <v>2004</v>
      </c>
      <c r="H64">
        <v>1</v>
      </c>
      <c r="I64" t="s">
        <v>69</v>
      </c>
      <c r="J64" s="14"/>
      <c r="K64" s="14"/>
      <c r="M64" s="15"/>
      <c r="N64" s="13"/>
      <c r="O64" s="29"/>
      <c r="P64" s="16"/>
      <c r="Q64" s="18">
        <v>2</v>
      </c>
      <c r="R64" t="s">
        <v>646</v>
      </c>
      <c r="T64" t="s">
        <v>338</v>
      </c>
      <c r="V64" t="s">
        <v>112</v>
      </c>
      <c r="W64" s="29">
        <v>2004</v>
      </c>
      <c r="X64" t="s">
        <v>238</v>
      </c>
      <c r="Y64" t="s">
        <v>87</v>
      </c>
      <c r="Z64" s="14"/>
      <c r="AA64" s="22"/>
      <c r="AQ64" t="s">
        <v>87</v>
      </c>
      <c r="AR64" t="s">
        <v>88</v>
      </c>
      <c r="AS64" t="s">
        <v>87</v>
      </c>
      <c r="AV64" t="s">
        <v>235</v>
      </c>
      <c r="AW64" s="29">
        <v>2004</v>
      </c>
      <c r="AX64" t="s">
        <v>452</v>
      </c>
      <c r="BE64" s="17"/>
      <c r="BF64" s="19"/>
      <c r="BG64" s="17">
        <v>0.5</v>
      </c>
      <c r="BH64" s="17"/>
      <c r="BI64" s="17"/>
      <c r="BJ64" s="17"/>
      <c r="BM64">
        <v>-0.8</v>
      </c>
      <c r="BP64" s="13">
        <v>2760000</v>
      </c>
      <c r="BS64">
        <v>2</v>
      </c>
      <c r="BT64">
        <v>4</v>
      </c>
      <c r="BU64">
        <v>0.52</v>
      </c>
      <c r="BX64" t="s">
        <v>648</v>
      </c>
      <c r="BY64" t="s">
        <v>96</v>
      </c>
      <c r="CC64">
        <v>72</v>
      </c>
      <c r="CD64" s="15"/>
      <c r="CI64" t="s">
        <v>647</v>
      </c>
      <c r="CK64" t="s">
        <v>220</v>
      </c>
      <c r="CP64" t="s">
        <v>650</v>
      </c>
      <c r="CY64" s="24"/>
    </row>
    <row r="65" spans="1:103" x14ac:dyDescent="0.35">
      <c r="A65">
        <v>32</v>
      </c>
      <c r="B65" s="1">
        <v>65</v>
      </c>
      <c r="C65" s="43" t="s">
        <v>108</v>
      </c>
      <c r="D65">
        <v>2012</v>
      </c>
      <c r="E65" t="s">
        <v>734</v>
      </c>
      <c r="G65" s="29">
        <v>2005</v>
      </c>
      <c r="H65">
        <v>1</v>
      </c>
      <c r="I65" t="s">
        <v>69</v>
      </c>
      <c r="J65" s="14"/>
      <c r="K65" s="14"/>
      <c r="M65" s="15"/>
      <c r="N65" s="13"/>
      <c r="O65" s="29"/>
      <c r="P65" s="16"/>
      <c r="Q65" s="18">
        <v>14</v>
      </c>
      <c r="R65" t="s">
        <v>646</v>
      </c>
      <c r="T65" t="s">
        <v>338</v>
      </c>
      <c r="V65" t="s">
        <v>112</v>
      </c>
      <c r="W65" s="29">
        <v>2005</v>
      </c>
      <c r="X65" t="s">
        <v>238</v>
      </c>
      <c r="Y65" t="s">
        <v>87</v>
      </c>
      <c r="Z65" s="14"/>
      <c r="AA65" s="22"/>
      <c r="AQ65" t="s">
        <v>87</v>
      </c>
      <c r="AR65" t="s">
        <v>88</v>
      </c>
      <c r="AS65" t="s">
        <v>87</v>
      </c>
      <c r="AV65" t="s">
        <v>235</v>
      </c>
      <c r="AW65" s="29">
        <v>2005</v>
      </c>
      <c r="AX65" t="s">
        <v>452</v>
      </c>
      <c r="BE65" s="17"/>
      <c r="BF65" s="19"/>
      <c r="BG65" s="17">
        <v>0.4</v>
      </c>
      <c r="BH65" s="17"/>
      <c r="BI65" s="17"/>
      <c r="BJ65" s="17"/>
      <c r="BM65">
        <v>-0.5</v>
      </c>
      <c r="BP65" s="13">
        <v>2760000</v>
      </c>
      <c r="BS65">
        <v>2</v>
      </c>
      <c r="BT65">
        <v>4</v>
      </c>
      <c r="BU65">
        <v>0.56000000000000005</v>
      </c>
      <c r="BX65" t="s">
        <v>648</v>
      </c>
      <c r="BY65" t="s">
        <v>96</v>
      </c>
      <c r="CC65">
        <v>96</v>
      </c>
      <c r="CD65" s="15"/>
      <c r="CI65" t="s">
        <v>647</v>
      </c>
      <c r="CK65" t="s">
        <v>220</v>
      </c>
      <c r="CP65" t="s">
        <v>650</v>
      </c>
      <c r="CY65" s="24"/>
    </row>
    <row r="66" spans="1:103" x14ac:dyDescent="0.35">
      <c r="A66">
        <v>33</v>
      </c>
      <c r="B66" s="1">
        <v>65</v>
      </c>
      <c r="C66" s="43" t="s">
        <v>108</v>
      </c>
      <c r="D66">
        <v>2012</v>
      </c>
      <c r="E66" t="s">
        <v>734</v>
      </c>
      <c r="G66" s="29">
        <v>2006</v>
      </c>
      <c r="H66">
        <v>1</v>
      </c>
      <c r="I66" t="s">
        <v>69</v>
      </c>
      <c r="J66" s="14"/>
      <c r="K66" s="14"/>
      <c r="M66" s="15"/>
      <c r="N66" s="13"/>
      <c r="O66" s="29"/>
      <c r="P66" s="16"/>
      <c r="Q66" s="18">
        <v>26</v>
      </c>
      <c r="R66" t="s">
        <v>646</v>
      </c>
      <c r="T66" t="s">
        <v>338</v>
      </c>
      <c r="V66" t="s">
        <v>112</v>
      </c>
      <c r="W66" s="29">
        <v>2006</v>
      </c>
      <c r="X66" t="s">
        <v>238</v>
      </c>
      <c r="Y66" t="s">
        <v>87</v>
      </c>
      <c r="Z66" s="14"/>
      <c r="AA66" s="22"/>
      <c r="AQ66" t="s">
        <v>87</v>
      </c>
      <c r="AR66" t="s">
        <v>88</v>
      </c>
      <c r="AS66" t="s">
        <v>87</v>
      </c>
      <c r="AV66" t="s">
        <v>235</v>
      </c>
      <c r="AW66" s="29">
        <v>2006</v>
      </c>
      <c r="AX66" t="s">
        <v>452</v>
      </c>
      <c r="BE66" s="17"/>
      <c r="BF66" s="19"/>
      <c r="BG66" s="17">
        <v>1.6</v>
      </c>
      <c r="BH66" s="17"/>
      <c r="BI66" s="17"/>
      <c r="BJ66" s="17"/>
      <c r="BM66">
        <v>-0.1</v>
      </c>
      <c r="BP66" s="13">
        <v>2760000</v>
      </c>
      <c r="BS66">
        <v>2</v>
      </c>
      <c r="BT66">
        <v>4</v>
      </c>
      <c r="BU66">
        <v>0.56999999999999995</v>
      </c>
      <c r="BX66" t="s">
        <v>648</v>
      </c>
      <c r="BY66" t="s">
        <v>96</v>
      </c>
      <c r="CA66">
        <v>65</v>
      </c>
      <c r="CC66">
        <v>72</v>
      </c>
      <c r="CD66" s="15">
        <v>47</v>
      </c>
      <c r="CI66" t="s">
        <v>647</v>
      </c>
      <c r="CK66" t="s">
        <v>220</v>
      </c>
      <c r="CP66" t="s">
        <v>650</v>
      </c>
      <c r="CY66" s="24"/>
    </row>
    <row r="67" spans="1:103" x14ac:dyDescent="0.35">
      <c r="A67">
        <v>47</v>
      </c>
      <c r="B67" s="1">
        <v>67</v>
      </c>
      <c r="C67" t="s">
        <v>123</v>
      </c>
      <c r="D67">
        <v>2008</v>
      </c>
      <c r="E67" t="s">
        <v>387</v>
      </c>
      <c r="G67" t="s">
        <v>362</v>
      </c>
      <c r="H67">
        <v>3</v>
      </c>
      <c r="I67" t="s">
        <v>69</v>
      </c>
      <c r="J67">
        <v>26.632999999999999</v>
      </c>
      <c r="K67">
        <v>-80.417000000000002</v>
      </c>
      <c r="O67" t="s">
        <v>80</v>
      </c>
      <c r="R67" t="s">
        <v>220</v>
      </c>
      <c r="S67" s="24" t="s">
        <v>392</v>
      </c>
      <c r="T67" t="s">
        <v>732</v>
      </c>
      <c r="V67" t="s">
        <v>112</v>
      </c>
      <c r="W67" s="30" t="s">
        <v>362</v>
      </c>
      <c r="Y67" t="s">
        <v>87</v>
      </c>
      <c r="Z67" s="22">
        <v>7.1999999999999995E-2</v>
      </c>
      <c r="AA67" s="22">
        <v>2.5000000000000001E-2</v>
      </c>
      <c r="AB67" s="36">
        <v>65.28</v>
      </c>
      <c r="AC67" t="s">
        <v>277</v>
      </c>
      <c r="AF67">
        <v>2.5999999999999999E-2</v>
      </c>
      <c r="AI67">
        <v>0.01</v>
      </c>
      <c r="AJ67">
        <v>3.4000000000000002E-2</v>
      </c>
      <c r="AK67">
        <v>0.01</v>
      </c>
      <c r="AL67">
        <v>71</v>
      </c>
      <c r="AQ67" t="s">
        <v>88</v>
      </c>
      <c r="AR67" t="s">
        <v>88</v>
      </c>
      <c r="AS67" t="s">
        <v>87</v>
      </c>
      <c r="AT67">
        <v>7.2</v>
      </c>
      <c r="AU67">
        <v>7.2</v>
      </c>
      <c r="AW67" s="30" t="s">
        <v>362</v>
      </c>
      <c r="AX67" t="s">
        <v>394</v>
      </c>
      <c r="AY67">
        <v>26791</v>
      </c>
      <c r="BD67" t="s">
        <v>87</v>
      </c>
      <c r="BE67" s="23">
        <v>0.96</v>
      </c>
      <c r="BF67" s="36">
        <v>0.32999999999999996</v>
      </c>
      <c r="BG67">
        <v>0.63</v>
      </c>
      <c r="BH67">
        <v>64</v>
      </c>
      <c r="BI67">
        <v>10</v>
      </c>
      <c r="BP67">
        <v>2000</v>
      </c>
      <c r="BU67">
        <v>0.3</v>
      </c>
      <c r="BX67" t="s">
        <v>622</v>
      </c>
      <c r="BY67" t="s">
        <v>96</v>
      </c>
      <c r="CC67">
        <v>196.8</v>
      </c>
      <c r="CD67">
        <v>9.27</v>
      </c>
      <c r="CH67" t="s">
        <v>405</v>
      </c>
      <c r="CV67" t="s">
        <v>88</v>
      </c>
      <c r="CY67" s="24" t="s">
        <v>860</v>
      </c>
    </row>
    <row r="68" spans="1:103" x14ac:dyDescent="0.35">
      <c r="A68">
        <v>48</v>
      </c>
      <c r="B68" s="1">
        <v>67</v>
      </c>
      <c r="C68" t="s">
        <v>123</v>
      </c>
      <c r="D68">
        <v>2008</v>
      </c>
      <c r="E68" t="s">
        <v>389</v>
      </c>
      <c r="G68" t="s">
        <v>362</v>
      </c>
      <c r="H68">
        <v>3</v>
      </c>
      <c r="I68" t="s">
        <v>69</v>
      </c>
      <c r="J68">
        <v>26.632999999999999</v>
      </c>
      <c r="K68">
        <v>-80.417000000000002</v>
      </c>
      <c r="O68" t="s">
        <v>80</v>
      </c>
      <c r="R68" t="s">
        <v>220</v>
      </c>
      <c r="S68" s="24" t="s">
        <v>392</v>
      </c>
      <c r="T68" t="s">
        <v>732</v>
      </c>
      <c r="V68" t="s">
        <v>112</v>
      </c>
      <c r="W68" s="30" t="s">
        <v>362</v>
      </c>
      <c r="Y68" t="s">
        <v>87</v>
      </c>
      <c r="Z68" s="22">
        <v>7.1999999999999995E-2</v>
      </c>
      <c r="AA68" s="22">
        <v>0.03</v>
      </c>
      <c r="AB68" s="36">
        <v>58.33</v>
      </c>
      <c r="AC68" t="s">
        <v>277</v>
      </c>
      <c r="AF68">
        <v>2.5999999999999999E-2</v>
      </c>
      <c r="AI68">
        <v>1.4E-2</v>
      </c>
      <c r="AJ68">
        <v>3.4000000000000002E-2</v>
      </c>
      <c r="AK68">
        <v>7.0000000000000001E-3</v>
      </c>
      <c r="AL68">
        <v>79</v>
      </c>
      <c r="AQ68" t="s">
        <v>88</v>
      </c>
      <c r="AR68" t="s">
        <v>88</v>
      </c>
      <c r="AS68" t="s">
        <v>87</v>
      </c>
      <c r="AT68">
        <v>7.2</v>
      </c>
      <c r="AU68">
        <v>7.6</v>
      </c>
      <c r="AW68" s="30" t="s">
        <v>362</v>
      </c>
      <c r="AX68" t="s">
        <v>394</v>
      </c>
      <c r="AY68">
        <v>26791</v>
      </c>
      <c r="BD68" t="s">
        <v>87</v>
      </c>
      <c r="BE68" s="23">
        <v>0.96</v>
      </c>
      <c r="BF68" s="36">
        <v>0.39</v>
      </c>
      <c r="BG68">
        <v>0.56999999999999995</v>
      </c>
      <c r="BH68">
        <v>55</v>
      </c>
      <c r="BI68">
        <v>9</v>
      </c>
      <c r="BP68">
        <v>2000</v>
      </c>
      <c r="BU68">
        <v>0.3</v>
      </c>
      <c r="BX68" t="s">
        <v>616</v>
      </c>
      <c r="BY68" t="s">
        <v>95</v>
      </c>
      <c r="CC68">
        <v>196.8</v>
      </c>
      <c r="CD68">
        <v>9.27</v>
      </c>
      <c r="CH68" t="s">
        <v>405</v>
      </c>
      <c r="CV68" t="s">
        <v>88</v>
      </c>
      <c r="CY68" s="24" t="s">
        <v>860</v>
      </c>
    </row>
    <row r="69" spans="1:103" x14ac:dyDescent="0.35">
      <c r="A69">
        <v>49</v>
      </c>
      <c r="B69" s="1">
        <v>67</v>
      </c>
      <c r="C69" t="s">
        <v>123</v>
      </c>
      <c r="D69">
        <v>2008</v>
      </c>
      <c r="E69" t="s">
        <v>388</v>
      </c>
      <c r="G69" t="s">
        <v>362</v>
      </c>
      <c r="H69">
        <v>3</v>
      </c>
      <c r="I69" t="s">
        <v>69</v>
      </c>
      <c r="J69">
        <v>26.632999999999999</v>
      </c>
      <c r="K69">
        <v>-80.417000000000002</v>
      </c>
      <c r="O69" t="s">
        <v>80</v>
      </c>
      <c r="R69" t="s">
        <v>220</v>
      </c>
      <c r="S69" s="24" t="s">
        <v>392</v>
      </c>
      <c r="T69" t="s">
        <v>732</v>
      </c>
      <c r="V69" t="s">
        <v>112</v>
      </c>
      <c r="W69" s="30" t="s">
        <v>362</v>
      </c>
      <c r="Y69" t="s">
        <v>87</v>
      </c>
      <c r="Z69" s="22">
        <v>4.2999999999999997E-2</v>
      </c>
      <c r="AA69" s="22">
        <v>2.4E-2</v>
      </c>
      <c r="AB69" s="36">
        <v>44.19</v>
      </c>
      <c r="AC69" t="s">
        <v>277</v>
      </c>
      <c r="AF69">
        <v>1.7000000000000001E-2</v>
      </c>
      <c r="AI69">
        <v>8.0000000000000002E-3</v>
      </c>
      <c r="AJ69">
        <v>2.1999999999999999E-2</v>
      </c>
      <c r="AK69">
        <v>0.01</v>
      </c>
      <c r="AL69">
        <v>57</v>
      </c>
      <c r="AQ69" t="s">
        <v>88</v>
      </c>
      <c r="AR69" t="s">
        <v>88</v>
      </c>
      <c r="AS69" t="s">
        <v>87</v>
      </c>
      <c r="AT69">
        <v>7.8</v>
      </c>
      <c r="AU69">
        <v>7.2</v>
      </c>
      <c r="AW69" s="30" t="s">
        <v>362</v>
      </c>
      <c r="AX69" t="s">
        <v>394</v>
      </c>
      <c r="AY69">
        <v>26791</v>
      </c>
      <c r="BD69" t="s">
        <v>87</v>
      </c>
      <c r="BE69" s="23">
        <v>0.56999999999999995</v>
      </c>
      <c r="BF69" s="36">
        <v>0.24999999999999994</v>
      </c>
      <c r="BG69">
        <v>0.32</v>
      </c>
      <c r="BH69">
        <v>49</v>
      </c>
      <c r="BI69">
        <v>7</v>
      </c>
      <c r="BP69">
        <v>2000</v>
      </c>
      <c r="BU69">
        <v>0.3</v>
      </c>
      <c r="BX69" t="s">
        <v>622</v>
      </c>
      <c r="BY69" t="s">
        <v>96</v>
      </c>
      <c r="CC69">
        <v>196.8</v>
      </c>
      <c r="CD69">
        <v>9.27</v>
      </c>
      <c r="CH69" t="s">
        <v>405</v>
      </c>
      <c r="CV69" t="s">
        <v>88</v>
      </c>
      <c r="CY69" s="24" t="s">
        <v>860</v>
      </c>
    </row>
    <row r="70" spans="1:103" x14ac:dyDescent="0.35">
      <c r="A70">
        <v>50</v>
      </c>
      <c r="B70" s="1">
        <v>67</v>
      </c>
      <c r="C70" t="s">
        <v>123</v>
      </c>
      <c r="D70">
        <v>2008</v>
      </c>
      <c r="E70" t="s">
        <v>390</v>
      </c>
      <c r="G70" t="s">
        <v>362</v>
      </c>
      <c r="H70">
        <v>3</v>
      </c>
      <c r="I70" t="s">
        <v>69</v>
      </c>
      <c r="J70">
        <v>26.632999999999999</v>
      </c>
      <c r="K70">
        <v>-80.417000000000002</v>
      </c>
      <c r="O70" t="s">
        <v>80</v>
      </c>
      <c r="R70" t="s">
        <v>220</v>
      </c>
      <c r="S70" s="24" t="s">
        <v>392</v>
      </c>
      <c r="T70" t="s">
        <v>732</v>
      </c>
      <c r="V70" t="s">
        <v>112</v>
      </c>
      <c r="W70" s="30" t="s">
        <v>362</v>
      </c>
      <c r="Y70" t="s">
        <v>87</v>
      </c>
      <c r="Z70" s="22">
        <v>4.2999999999999997E-2</v>
      </c>
      <c r="AA70" s="22">
        <v>2.5999999999999999E-2</v>
      </c>
      <c r="AB70" s="36">
        <v>39.53</v>
      </c>
      <c r="AC70" t="s">
        <v>277</v>
      </c>
      <c r="AF70">
        <v>1.7000000000000001E-2</v>
      </c>
      <c r="AI70">
        <v>1.2E-2</v>
      </c>
      <c r="AJ70">
        <v>2.1999999999999999E-2</v>
      </c>
      <c r="AK70">
        <v>7.0000000000000001E-3</v>
      </c>
      <c r="AL70">
        <v>68</v>
      </c>
      <c r="AQ70" t="s">
        <v>88</v>
      </c>
      <c r="AR70" t="s">
        <v>88</v>
      </c>
      <c r="AS70" t="s">
        <v>87</v>
      </c>
      <c r="AT70">
        <v>7.8</v>
      </c>
      <c r="AU70">
        <v>7.7</v>
      </c>
      <c r="AW70" s="30" t="s">
        <v>362</v>
      </c>
      <c r="AX70" t="s">
        <v>394</v>
      </c>
      <c r="AY70">
        <v>26791</v>
      </c>
      <c r="BD70" t="s">
        <v>87</v>
      </c>
      <c r="BE70" s="23">
        <v>0.56999999999999995</v>
      </c>
      <c r="BF70" s="36">
        <v>0.27999999999999997</v>
      </c>
      <c r="BG70">
        <v>0.28999999999999998</v>
      </c>
      <c r="BH70">
        <v>33</v>
      </c>
      <c r="BI70">
        <v>5</v>
      </c>
      <c r="BP70">
        <v>2000</v>
      </c>
      <c r="BU70">
        <v>0.3</v>
      </c>
      <c r="BX70" t="s">
        <v>616</v>
      </c>
      <c r="BY70" t="s">
        <v>95</v>
      </c>
      <c r="CC70">
        <v>196.8</v>
      </c>
      <c r="CD70">
        <v>9.27</v>
      </c>
      <c r="CH70" t="s">
        <v>405</v>
      </c>
      <c r="CV70" t="s">
        <v>88</v>
      </c>
      <c r="CY70" s="24" t="s">
        <v>860</v>
      </c>
    </row>
    <row r="71" spans="1:103" x14ac:dyDescent="0.35">
      <c r="A71">
        <v>51</v>
      </c>
      <c r="B71" s="1">
        <v>67</v>
      </c>
      <c r="C71" t="s">
        <v>123</v>
      </c>
      <c r="D71">
        <v>2008</v>
      </c>
      <c r="E71" t="s">
        <v>391</v>
      </c>
      <c r="G71" t="s">
        <v>362</v>
      </c>
      <c r="H71">
        <v>3</v>
      </c>
      <c r="I71" t="s">
        <v>69</v>
      </c>
      <c r="J71">
        <v>26.632999999999999</v>
      </c>
      <c r="K71">
        <v>-80.417000000000002</v>
      </c>
      <c r="O71" t="s">
        <v>80</v>
      </c>
      <c r="R71" t="s">
        <v>220</v>
      </c>
      <c r="S71" s="24" t="s">
        <v>392</v>
      </c>
      <c r="T71" t="s">
        <v>732</v>
      </c>
      <c r="V71" t="s">
        <v>112</v>
      </c>
      <c r="W71" s="30" t="s">
        <v>362</v>
      </c>
      <c r="Y71" t="s">
        <v>87</v>
      </c>
      <c r="Z71" s="22">
        <v>4.2999999999999997E-2</v>
      </c>
      <c r="AA71" s="22">
        <v>1.7999999999999999E-2</v>
      </c>
      <c r="AB71" s="36">
        <v>58.14</v>
      </c>
      <c r="AC71" t="s">
        <v>277</v>
      </c>
      <c r="AF71">
        <v>1.7000000000000001E-2</v>
      </c>
      <c r="AI71">
        <v>6.0000000000000001E-3</v>
      </c>
      <c r="AJ71">
        <v>2.1999999999999999E-2</v>
      </c>
      <c r="AK71">
        <v>6.0000000000000001E-3</v>
      </c>
      <c r="AL71">
        <v>74</v>
      </c>
      <c r="AQ71" t="s">
        <v>88</v>
      </c>
      <c r="AR71" t="s">
        <v>88</v>
      </c>
      <c r="AS71" t="s">
        <v>87</v>
      </c>
      <c r="AT71">
        <v>7.8</v>
      </c>
      <c r="AU71">
        <v>7.5</v>
      </c>
      <c r="AW71" s="30" t="s">
        <v>362</v>
      </c>
      <c r="AX71" t="s">
        <v>394</v>
      </c>
      <c r="AY71">
        <v>26791</v>
      </c>
      <c r="BD71" t="s">
        <v>87</v>
      </c>
      <c r="BE71" s="23">
        <v>0.56999999999999995</v>
      </c>
      <c r="BF71" s="36">
        <v>0.2</v>
      </c>
      <c r="BG71">
        <v>0.37</v>
      </c>
      <c r="BH71">
        <v>59</v>
      </c>
      <c r="BI71">
        <v>4</v>
      </c>
      <c r="BP71">
        <v>2000</v>
      </c>
      <c r="BU71">
        <v>0.3</v>
      </c>
      <c r="BX71" t="s">
        <v>631</v>
      </c>
      <c r="BY71" t="s">
        <v>393</v>
      </c>
      <c r="CC71">
        <v>196.8</v>
      </c>
      <c r="CD71">
        <v>9.27</v>
      </c>
      <c r="CH71" t="s">
        <v>405</v>
      </c>
      <c r="CV71" t="s">
        <v>88</v>
      </c>
      <c r="CY71" s="24" t="s">
        <v>860</v>
      </c>
    </row>
    <row r="72" spans="1:103" x14ac:dyDescent="0.35">
      <c r="A72">
        <v>43</v>
      </c>
      <c r="B72" s="1">
        <v>68</v>
      </c>
      <c r="C72" t="s">
        <v>149</v>
      </c>
      <c r="D72">
        <v>2008</v>
      </c>
      <c r="E72" t="s">
        <v>460</v>
      </c>
      <c r="G72" t="s">
        <v>464</v>
      </c>
      <c r="H72">
        <v>1</v>
      </c>
      <c r="I72" t="s">
        <v>69</v>
      </c>
      <c r="J72">
        <v>26.632999999999999</v>
      </c>
      <c r="K72">
        <v>-80.417000000000002</v>
      </c>
      <c r="O72" t="s">
        <v>80</v>
      </c>
      <c r="R72" t="s">
        <v>220</v>
      </c>
      <c r="S72" s="24" t="s">
        <v>392</v>
      </c>
      <c r="T72" t="s">
        <v>733</v>
      </c>
      <c r="V72" t="s">
        <v>112</v>
      </c>
      <c r="W72" t="s">
        <v>464</v>
      </c>
      <c r="Y72" t="s">
        <v>87</v>
      </c>
      <c r="Z72" s="22">
        <v>7.2999999999999995E-2</v>
      </c>
      <c r="AA72" s="22">
        <v>2.4E-2</v>
      </c>
      <c r="AB72" s="36">
        <v>67.12</v>
      </c>
      <c r="AC72" t="s">
        <v>277</v>
      </c>
      <c r="AF72">
        <v>3.6999999999999998E-2</v>
      </c>
      <c r="AI72">
        <v>1.4999999999999999E-2</v>
      </c>
      <c r="AJ72">
        <v>2.5000000000000001E-2</v>
      </c>
      <c r="AK72">
        <v>3.0000000000000001E-3</v>
      </c>
      <c r="AL72">
        <v>88</v>
      </c>
      <c r="AQ72" t="s">
        <v>87</v>
      </c>
      <c r="AR72" t="s">
        <v>88</v>
      </c>
      <c r="AS72" t="s">
        <v>87</v>
      </c>
      <c r="AT72">
        <v>7.48</v>
      </c>
      <c r="AU72">
        <v>7.88</v>
      </c>
      <c r="AW72" t="s">
        <v>464</v>
      </c>
      <c r="AX72" t="s">
        <v>394</v>
      </c>
      <c r="BE72">
        <v>5.09</v>
      </c>
      <c r="BF72" s="36">
        <v>1.18</v>
      </c>
      <c r="BG72">
        <v>3.91</v>
      </c>
      <c r="BH72" s="36">
        <v>76.819999999999993</v>
      </c>
      <c r="BI72">
        <v>43.59</v>
      </c>
      <c r="BP72">
        <v>2000</v>
      </c>
      <c r="BX72" t="s">
        <v>616</v>
      </c>
      <c r="BY72" t="s">
        <v>95</v>
      </c>
      <c r="CD72">
        <v>59.7</v>
      </c>
      <c r="CH72" t="s">
        <v>405</v>
      </c>
      <c r="CI72" t="s">
        <v>465</v>
      </c>
      <c r="CU72" t="s">
        <v>261</v>
      </c>
      <c r="CV72" t="s">
        <v>261</v>
      </c>
      <c r="CY72" s="24" t="s">
        <v>897</v>
      </c>
    </row>
    <row r="73" spans="1:103" x14ac:dyDescent="0.35">
      <c r="A73">
        <v>44</v>
      </c>
      <c r="B73" s="1">
        <v>68</v>
      </c>
      <c r="C73" t="s">
        <v>149</v>
      </c>
      <c r="D73">
        <v>2008</v>
      </c>
      <c r="E73" t="s">
        <v>463</v>
      </c>
      <c r="G73" t="s">
        <v>464</v>
      </c>
      <c r="H73">
        <v>1</v>
      </c>
      <c r="I73" t="s">
        <v>69</v>
      </c>
      <c r="J73">
        <v>26.632999999999999</v>
      </c>
      <c r="K73">
        <v>-80.417000000000002</v>
      </c>
      <c r="O73" t="s">
        <v>80</v>
      </c>
      <c r="R73" t="s">
        <v>220</v>
      </c>
      <c r="S73" s="24" t="s">
        <v>392</v>
      </c>
      <c r="T73" t="s">
        <v>733</v>
      </c>
      <c r="V73" t="s">
        <v>112</v>
      </c>
      <c r="W73" t="s">
        <v>464</v>
      </c>
      <c r="Y73" t="s">
        <v>87</v>
      </c>
      <c r="Z73" s="22">
        <v>7.3999999999999996E-2</v>
      </c>
      <c r="AA73" s="22">
        <v>0.02</v>
      </c>
      <c r="AB73" s="36">
        <v>72.97</v>
      </c>
      <c r="AC73" t="s">
        <v>277</v>
      </c>
      <c r="AF73">
        <v>3.7999999999999999E-2</v>
      </c>
      <c r="AI73">
        <v>6.0000000000000001E-3</v>
      </c>
      <c r="AJ73">
        <v>2.4E-2</v>
      </c>
      <c r="AK73">
        <v>1E-3</v>
      </c>
      <c r="AL73">
        <v>95.3</v>
      </c>
      <c r="AQ73" t="s">
        <v>87</v>
      </c>
      <c r="AR73" t="s">
        <v>88</v>
      </c>
      <c r="AS73" t="s">
        <v>87</v>
      </c>
      <c r="AT73">
        <v>7.42</v>
      </c>
      <c r="AU73">
        <v>7.73</v>
      </c>
      <c r="AW73" t="s">
        <v>464</v>
      </c>
      <c r="AX73" t="s">
        <v>394</v>
      </c>
      <c r="BE73">
        <v>4.07</v>
      </c>
      <c r="BF73" s="36">
        <v>1.05</v>
      </c>
      <c r="BG73">
        <v>3.02</v>
      </c>
      <c r="BH73" s="36">
        <v>74.2</v>
      </c>
      <c r="BI73">
        <v>50.88</v>
      </c>
      <c r="BP73">
        <v>2000</v>
      </c>
      <c r="BX73" t="s">
        <v>616</v>
      </c>
      <c r="BY73" t="s">
        <v>95</v>
      </c>
      <c r="CD73">
        <v>73.7</v>
      </c>
      <c r="CH73" t="s">
        <v>405</v>
      </c>
      <c r="CI73" t="s">
        <v>465</v>
      </c>
      <c r="CU73" t="s">
        <v>261</v>
      </c>
      <c r="CV73" t="s">
        <v>261</v>
      </c>
      <c r="CY73" s="24" t="s">
        <v>897</v>
      </c>
    </row>
    <row r="74" spans="1:103" x14ac:dyDescent="0.35">
      <c r="A74">
        <v>45</v>
      </c>
      <c r="B74" s="1">
        <v>68</v>
      </c>
      <c r="C74" t="s">
        <v>149</v>
      </c>
      <c r="D74">
        <v>2008</v>
      </c>
      <c r="E74" t="s">
        <v>461</v>
      </c>
      <c r="G74" t="s">
        <v>464</v>
      </c>
      <c r="H74">
        <v>1</v>
      </c>
      <c r="I74" t="s">
        <v>69</v>
      </c>
      <c r="J74">
        <v>26.632999999999999</v>
      </c>
      <c r="K74">
        <v>-80.417000000000002</v>
      </c>
      <c r="O74" t="s">
        <v>80</v>
      </c>
      <c r="R74" t="s">
        <v>220</v>
      </c>
      <c r="S74" s="24" t="s">
        <v>392</v>
      </c>
      <c r="T74" t="s">
        <v>733</v>
      </c>
      <c r="V74" t="s">
        <v>112</v>
      </c>
      <c r="W74" t="s">
        <v>464</v>
      </c>
      <c r="Y74" t="s">
        <v>87</v>
      </c>
      <c r="Z74" s="22">
        <v>2.5999999999999999E-2</v>
      </c>
      <c r="AA74" s="22">
        <v>2.1999999999999999E-2</v>
      </c>
      <c r="AB74" s="36">
        <v>15.38</v>
      </c>
      <c r="AC74" t="s">
        <v>277</v>
      </c>
      <c r="AF74">
        <v>8.9999999999999993E-3</v>
      </c>
      <c r="AI74">
        <v>4.0000000000000001E-3</v>
      </c>
      <c r="AJ74">
        <v>5.0000000000000001E-3</v>
      </c>
      <c r="AK74">
        <v>2E-3</v>
      </c>
      <c r="AL74">
        <v>60</v>
      </c>
      <c r="AQ74" t="s">
        <v>87</v>
      </c>
      <c r="AR74" t="s">
        <v>88</v>
      </c>
      <c r="AS74" t="s">
        <v>87</v>
      </c>
      <c r="AT74">
        <v>7.65</v>
      </c>
      <c r="AU74">
        <v>8.7100000000000009</v>
      </c>
      <c r="AW74" t="s">
        <v>464</v>
      </c>
      <c r="AX74" t="s">
        <v>394</v>
      </c>
      <c r="BE74">
        <v>0.53</v>
      </c>
      <c r="BF74" s="36">
        <v>0.45</v>
      </c>
      <c r="BG74">
        <v>0.08</v>
      </c>
      <c r="BH74" s="36">
        <v>15.09</v>
      </c>
      <c r="BI74">
        <v>3.7</v>
      </c>
      <c r="BP74">
        <v>2000</v>
      </c>
      <c r="BX74" t="s">
        <v>616</v>
      </c>
      <c r="BY74" t="s">
        <v>95</v>
      </c>
      <c r="CD74">
        <v>20.399999999999999</v>
      </c>
      <c r="CH74" t="s">
        <v>405</v>
      </c>
      <c r="CI74" t="s">
        <v>465</v>
      </c>
      <c r="CU74" t="s">
        <v>261</v>
      </c>
      <c r="CV74" t="s">
        <v>261</v>
      </c>
      <c r="CY74" s="24" t="s">
        <v>897</v>
      </c>
    </row>
    <row r="75" spans="1:103" x14ac:dyDescent="0.35">
      <c r="A75">
        <v>46</v>
      </c>
      <c r="B75" s="1">
        <v>68</v>
      </c>
      <c r="C75" t="s">
        <v>149</v>
      </c>
      <c r="D75">
        <v>2008</v>
      </c>
      <c r="E75" t="s">
        <v>462</v>
      </c>
      <c r="G75" t="s">
        <v>464</v>
      </c>
      <c r="H75">
        <v>1</v>
      </c>
      <c r="I75" t="s">
        <v>69</v>
      </c>
      <c r="J75">
        <v>26.632999999999999</v>
      </c>
      <c r="K75">
        <v>-80.417000000000002</v>
      </c>
      <c r="O75" t="s">
        <v>80</v>
      </c>
      <c r="R75" t="s">
        <v>220</v>
      </c>
      <c r="S75" s="24" t="s">
        <v>392</v>
      </c>
      <c r="T75" t="s">
        <v>733</v>
      </c>
      <c r="V75" t="s">
        <v>112</v>
      </c>
      <c r="W75" t="s">
        <v>464</v>
      </c>
      <c r="Y75" t="s">
        <v>87</v>
      </c>
      <c r="Z75" s="22">
        <v>2.5999999999999999E-2</v>
      </c>
      <c r="AA75" s="22">
        <v>1.7000000000000001E-2</v>
      </c>
      <c r="AB75" s="36">
        <v>34.619999999999997</v>
      </c>
      <c r="AC75" t="s">
        <v>277</v>
      </c>
      <c r="AF75">
        <v>8.9999999999999993E-3</v>
      </c>
      <c r="AI75">
        <v>4.0000000000000001E-3</v>
      </c>
      <c r="AJ75">
        <v>6.0000000000000001E-3</v>
      </c>
      <c r="AK75">
        <v>2E-3</v>
      </c>
      <c r="AL75">
        <v>66.67</v>
      </c>
      <c r="AQ75" t="s">
        <v>87</v>
      </c>
      <c r="AR75" t="s">
        <v>88</v>
      </c>
      <c r="AS75" t="s">
        <v>87</v>
      </c>
      <c r="AT75">
        <v>7.62</v>
      </c>
      <c r="AU75">
        <v>8.3699999999999992</v>
      </c>
      <c r="AW75" t="s">
        <v>464</v>
      </c>
      <c r="AX75" t="s">
        <v>394</v>
      </c>
      <c r="BE75">
        <v>0.57999999999999996</v>
      </c>
      <c r="BF75" s="36">
        <v>0.38</v>
      </c>
      <c r="BG75">
        <v>0.2</v>
      </c>
      <c r="BH75" s="36">
        <v>34.479999999999997</v>
      </c>
      <c r="BI75">
        <v>3.6</v>
      </c>
      <c r="BP75">
        <v>2000</v>
      </c>
      <c r="BX75" t="s">
        <v>616</v>
      </c>
      <c r="BY75" t="s">
        <v>95</v>
      </c>
      <c r="CD75">
        <v>22.3</v>
      </c>
      <c r="CH75" t="s">
        <v>405</v>
      </c>
      <c r="CI75" t="s">
        <v>465</v>
      </c>
      <c r="CU75" t="s">
        <v>261</v>
      </c>
      <c r="CV75" t="s">
        <v>261</v>
      </c>
      <c r="CY75" s="24" t="s">
        <v>897</v>
      </c>
    </row>
    <row r="76" spans="1:103" x14ac:dyDescent="0.35">
      <c r="A76">
        <v>78</v>
      </c>
      <c r="B76" s="1">
        <v>69</v>
      </c>
      <c r="C76" t="s">
        <v>124</v>
      </c>
      <c r="D76">
        <v>2006</v>
      </c>
      <c r="E76" t="s">
        <v>911</v>
      </c>
      <c r="G76" t="s">
        <v>404</v>
      </c>
      <c r="H76">
        <v>2</v>
      </c>
      <c r="I76" t="s">
        <v>69</v>
      </c>
      <c r="J76" s="14">
        <v>26.641999999999999</v>
      </c>
      <c r="K76" s="14">
        <v>-80.424999999999997</v>
      </c>
      <c r="O76" t="s">
        <v>80</v>
      </c>
      <c r="R76" t="s">
        <v>220</v>
      </c>
      <c r="S76" s="24" t="s">
        <v>82</v>
      </c>
      <c r="T76" t="s">
        <v>338</v>
      </c>
      <c r="V76" t="s">
        <v>187</v>
      </c>
      <c r="W76" s="30" t="s">
        <v>404</v>
      </c>
      <c r="Z76" s="22">
        <v>7.2999999999999995E-2</v>
      </c>
      <c r="AA76" s="22">
        <v>1.4999999999999999E-2</v>
      </c>
      <c r="AB76" s="36">
        <v>79.45</v>
      </c>
      <c r="AC76" t="s">
        <v>107</v>
      </c>
      <c r="AV76" t="s">
        <v>235</v>
      </c>
      <c r="AW76" s="30" t="s">
        <v>404</v>
      </c>
      <c r="BE76" s="23">
        <v>1</v>
      </c>
      <c r="BF76" s="36">
        <v>0.15000000000000002</v>
      </c>
      <c r="BG76" s="36">
        <v>0.85</v>
      </c>
      <c r="BH76">
        <v>85</v>
      </c>
      <c r="BJ76">
        <f t="shared" ref="BJ76:BJ86" si="0">(BG76/BE76)*100</f>
        <v>85</v>
      </c>
      <c r="BP76">
        <v>5250000</v>
      </c>
      <c r="BT76">
        <v>2</v>
      </c>
      <c r="BX76" t="s">
        <v>623</v>
      </c>
      <c r="BY76" t="s">
        <v>96</v>
      </c>
      <c r="BZ76" t="s">
        <v>95</v>
      </c>
      <c r="CD76">
        <v>13.51</v>
      </c>
      <c r="CH76" t="s">
        <v>104</v>
      </c>
      <c r="CK76" t="s">
        <v>220</v>
      </c>
      <c r="CY76" s="24" t="s">
        <v>861</v>
      </c>
    </row>
    <row r="77" spans="1:103" x14ac:dyDescent="0.35">
      <c r="A77">
        <v>79</v>
      </c>
      <c r="B77" s="1">
        <v>69</v>
      </c>
      <c r="C77" t="s">
        <v>124</v>
      </c>
      <c r="D77">
        <v>2006</v>
      </c>
      <c r="E77" t="s">
        <v>911</v>
      </c>
      <c r="G77" t="s">
        <v>407</v>
      </c>
      <c r="H77">
        <v>5</v>
      </c>
      <c r="I77" t="s">
        <v>69</v>
      </c>
      <c r="J77" s="14">
        <v>26.641999999999999</v>
      </c>
      <c r="K77" s="14">
        <v>-80.424999999999997</v>
      </c>
      <c r="O77" t="s">
        <v>80</v>
      </c>
      <c r="R77" t="s">
        <v>220</v>
      </c>
      <c r="S77" s="24" t="s">
        <v>82</v>
      </c>
      <c r="T77" t="s">
        <v>338</v>
      </c>
      <c r="V77" t="s">
        <v>187</v>
      </c>
      <c r="W77" s="30" t="s">
        <v>407</v>
      </c>
      <c r="Z77" s="22">
        <v>0.13900000000000001</v>
      </c>
      <c r="AA77" s="22">
        <v>8.6999999999999994E-2</v>
      </c>
      <c r="AB77" s="36">
        <v>37.409999999999997</v>
      </c>
      <c r="AC77" t="s">
        <v>107</v>
      </c>
      <c r="AV77" t="s">
        <v>235</v>
      </c>
      <c r="AW77" s="30" t="s">
        <v>407</v>
      </c>
      <c r="BE77" s="23">
        <v>2.5</v>
      </c>
      <c r="BF77" s="36">
        <v>0.89999999999999991</v>
      </c>
      <c r="BG77" s="36">
        <v>1.6</v>
      </c>
      <c r="BH77">
        <v>64</v>
      </c>
      <c r="BJ77">
        <f t="shared" si="0"/>
        <v>64</v>
      </c>
      <c r="BP77">
        <v>5250000</v>
      </c>
      <c r="BT77">
        <v>2</v>
      </c>
      <c r="BX77" t="s">
        <v>623</v>
      </c>
      <c r="BY77" t="s">
        <v>96</v>
      </c>
      <c r="BZ77" t="s">
        <v>95</v>
      </c>
      <c r="CD77">
        <v>17.89</v>
      </c>
      <c r="CH77" t="s">
        <v>104</v>
      </c>
      <c r="CK77" t="s">
        <v>220</v>
      </c>
      <c r="CY77" s="24" t="s">
        <v>861</v>
      </c>
    </row>
    <row r="78" spans="1:103" x14ac:dyDescent="0.35">
      <c r="A78">
        <v>80</v>
      </c>
      <c r="B78" s="1">
        <v>69</v>
      </c>
      <c r="C78" t="s">
        <v>124</v>
      </c>
      <c r="D78">
        <v>2006</v>
      </c>
      <c r="E78" t="s">
        <v>395</v>
      </c>
      <c r="G78" t="s">
        <v>408</v>
      </c>
      <c r="H78">
        <v>7</v>
      </c>
      <c r="I78" t="s">
        <v>69</v>
      </c>
      <c r="J78" s="14">
        <v>26.641999999999999</v>
      </c>
      <c r="K78" s="14">
        <v>-80.424999999999997</v>
      </c>
      <c r="O78" t="s">
        <v>80</v>
      </c>
      <c r="R78" t="s">
        <v>220</v>
      </c>
      <c r="S78" s="24" t="s">
        <v>82</v>
      </c>
      <c r="T78" t="s">
        <v>338</v>
      </c>
      <c r="V78" t="s">
        <v>187</v>
      </c>
      <c r="W78" s="30" t="s">
        <v>408</v>
      </c>
      <c r="Z78" s="22">
        <v>0.13300000000000001</v>
      </c>
      <c r="AA78" s="22">
        <v>5.3999999999999999E-2</v>
      </c>
      <c r="AB78" s="36">
        <v>59.4</v>
      </c>
      <c r="AC78" t="s">
        <v>107</v>
      </c>
      <c r="AV78" t="s">
        <v>235</v>
      </c>
      <c r="AW78" s="30" t="s">
        <v>408</v>
      </c>
      <c r="BE78" s="23">
        <v>1.2</v>
      </c>
      <c r="BF78" s="36">
        <v>0.41999999999999993</v>
      </c>
      <c r="BG78" s="36">
        <v>0.78</v>
      </c>
      <c r="BH78">
        <v>65</v>
      </c>
      <c r="BJ78">
        <f t="shared" si="0"/>
        <v>65</v>
      </c>
      <c r="BP78">
        <v>10180000</v>
      </c>
      <c r="BT78">
        <v>2</v>
      </c>
      <c r="BX78" t="s">
        <v>622</v>
      </c>
      <c r="BY78" t="s">
        <v>96</v>
      </c>
      <c r="CD78">
        <v>8.7899999999999991</v>
      </c>
      <c r="CH78" t="s">
        <v>104</v>
      </c>
      <c r="CK78" t="s">
        <v>220</v>
      </c>
      <c r="CY78" s="24" t="s">
        <v>861</v>
      </c>
    </row>
    <row r="79" spans="1:103" x14ac:dyDescent="0.35">
      <c r="A79">
        <v>81</v>
      </c>
      <c r="B79" s="1">
        <v>69</v>
      </c>
      <c r="C79" t="s">
        <v>124</v>
      </c>
      <c r="D79">
        <v>2006</v>
      </c>
      <c r="E79" t="s">
        <v>396</v>
      </c>
      <c r="G79" t="s">
        <v>362</v>
      </c>
      <c r="H79">
        <v>2</v>
      </c>
      <c r="I79" t="s">
        <v>69</v>
      </c>
      <c r="J79" s="14">
        <v>26.641999999999999</v>
      </c>
      <c r="K79" s="14">
        <v>-80.424999999999997</v>
      </c>
      <c r="O79" t="s">
        <v>80</v>
      </c>
      <c r="R79" t="s">
        <v>220</v>
      </c>
      <c r="S79" s="24" t="s">
        <v>82</v>
      </c>
      <c r="T79" t="s">
        <v>354</v>
      </c>
      <c r="V79" t="s">
        <v>112</v>
      </c>
      <c r="W79" s="30" t="s">
        <v>362</v>
      </c>
      <c r="Z79" s="22">
        <v>0.16500000000000001</v>
      </c>
      <c r="AA79" s="22">
        <v>7.6999999999999999E-2</v>
      </c>
      <c r="AB79" s="36">
        <v>53.34</v>
      </c>
      <c r="AC79" t="s">
        <v>107</v>
      </c>
      <c r="AV79" t="s">
        <v>235</v>
      </c>
      <c r="AW79" s="30" t="s">
        <v>362</v>
      </c>
      <c r="BE79" s="23">
        <v>3.6</v>
      </c>
      <c r="BF79" s="36">
        <v>1.8360000000000001</v>
      </c>
      <c r="BG79" s="36">
        <v>1.764</v>
      </c>
      <c r="BH79">
        <v>49</v>
      </c>
      <c r="BJ79">
        <f t="shared" si="0"/>
        <v>49</v>
      </c>
      <c r="BP79">
        <v>11550000</v>
      </c>
      <c r="BT79">
        <v>2</v>
      </c>
      <c r="BX79" t="s">
        <v>623</v>
      </c>
      <c r="BY79" t="s">
        <v>96</v>
      </c>
      <c r="BZ79" t="s">
        <v>95</v>
      </c>
      <c r="CD79">
        <v>21.9</v>
      </c>
      <c r="CH79" t="s">
        <v>104</v>
      </c>
      <c r="CK79" t="s">
        <v>220</v>
      </c>
      <c r="CY79" s="24" t="s">
        <v>861</v>
      </c>
    </row>
    <row r="80" spans="1:103" x14ac:dyDescent="0.35">
      <c r="A80">
        <v>82</v>
      </c>
      <c r="B80" s="1">
        <v>69</v>
      </c>
      <c r="C80" t="s">
        <v>124</v>
      </c>
      <c r="D80">
        <v>2006</v>
      </c>
      <c r="E80" t="s">
        <v>397</v>
      </c>
      <c r="G80" t="s">
        <v>409</v>
      </c>
      <c r="H80">
        <v>3</v>
      </c>
      <c r="I80" t="s">
        <v>69</v>
      </c>
      <c r="J80" s="14">
        <v>26.397279999999999</v>
      </c>
      <c r="K80" s="14">
        <v>-80.524259999999998</v>
      </c>
      <c r="O80" t="s">
        <v>80</v>
      </c>
      <c r="R80" t="s">
        <v>220</v>
      </c>
      <c r="S80" s="24" t="s">
        <v>82</v>
      </c>
      <c r="T80" t="s">
        <v>354</v>
      </c>
      <c r="V80" t="s">
        <v>112</v>
      </c>
      <c r="W80" s="30" t="s">
        <v>409</v>
      </c>
      <c r="Z80" s="22">
        <v>7.3999999999999996E-2</v>
      </c>
      <c r="AA80" s="22">
        <v>1.2E-2</v>
      </c>
      <c r="AB80" s="36">
        <v>83.78</v>
      </c>
      <c r="AC80" t="s">
        <v>107</v>
      </c>
      <c r="AV80" t="s">
        <v>235</v>
      </c>
      <c r="AW80" s="30" t="s">
        <v>409</v>
      </c>
      <c r="BE80" s="23">
        <v>0.6</v>
      </c>
      <c r="BF80" s="36">
        <v>7.7999999999999958E-2</v>
      </c>
      <c r="BG80" s="36">
        <v>0.52200000000000002</v>
      </c>
      <c r="BH80">
        <v>87</v>
      </c>
      <c r="BJ80">
        <f t="shared" si="0"/>
        <v>87.000000000000014</v>
      </c>
      <c r="BP80">
        <v>8050000</v>
      </c>
      <c r="BT80">
        <v>1</v>
      </c>
      <c r="BX80" t="s">
        <v>622</v>
      </c>
      <c r="BY80" t="s">
        <v>96</v>
      </c>
      <c r="CD80">
        <v>8.76</v>
      </c>
      <c r="CH80" t="s">
        <v>104</v>
      </c>
      <c r="CK80" t="s">
        <v>406</v>
      </c>
      <c r="CY80" s="24" t="s">
        <v>861</v>
      </c>
    </row>
    <row r="81" spans="1:103" x14ac:dyDescent="0.35">
      <c r="A81">
        <v>83</v>
      </c>
      <c r="B81" s="1">
        <v>69</v>
      </c>
      <c r="C81" t="s">
        <v>124</v>
      </c>
      <c r="D81">
        <v>2006</v>
      </c>
      <c r="E81" t="s">
        <v>398</v>
      </c>
      <c r="G81" t="s">
        <v>409</v>
      </c>
      <c r="H81">
        <v>3</v>
      </c>
      <c r="I81" t="s">
        <v>69</v>
      </c>
      <c r="J81" s="14">
        <v>26.397279999999999</v>
      </c>
      <c r="K81" s="14">
        <v>-80.524259999999998</v>
      </c>
      <c r="O81" t="s">
        <v>80</v>
      </c>
      <c r="R81" t="s">
        <v>220</v>
      </c>
      <c r="S81" s="24" t="s">
        <v>82</v>
      </c>
      <c r="T81" t="s">
        <v>354</v>
      </c>
      <c r="V81" t="s">
        <v>112</v>
      </c>
      <c r="W81" s="30" t="s">
        <v>409</v>
      </c>
      <c r="Z81" s="22">
        <v>0.09</v>
      </c>
      <c r="AA81" s="22">
        <v>2.8000000000000001E-2</v>
      </c>
      <c r="AB81" s="36">
        <v>68.89</v>
      </c>
      <c r="AC81" t="s">
        <v>107</v>
      </c>
      <c r="AV81" t="s">
        <v>235</v>
      </c>
      <c r="AW81" s="30" t="s">
        <v>409</v>
      </c>
      <c r="BE81" s="23">
        <v>1.4</v>
      </c>
      <c r="BF81" s="36">
        <v>0.40600000000000003</v>
      </c>
      <c r="BG81" s="36">
        <v>0.99399999999999988</v>
      </c>
      <c r="BH81">
        <v>71</v>
      </c>
      <c r="BJ81">
        <f t="shared" si="0"/>
        <v>71</v>
      </c>
      <c r="BP81">
        <v>8980000</v>
      </c>
      <c r="BT81">
        <v>1</v>
      </c>
      <c r="BX81" t="s">
        <v>622</v>
      </c>
      <c r="BY81" t="s">
        <v>96</v>
      </c>
      <c r="CD81">
        <v>15.7</v>
      </c>
      <c r="CH81" t="s">
        <v>104</v>
      </c>
      <c r="CK81" t="s">
        <v>406</v>
      </c>
      <c r="CY81" s="24" t="s">
        <v>861</v>
      </c>
    </row>
    <row r="82" spans="1:103" x14ac:dyDescent="0.35">
      <c r="A82">
        <v>84</v>
      </c>
      <c r="B82" s="1">
        <v>69</v>
      </c>
      <c r="C82" t="s">
        <v>124</v>
      </c>
      <c r="D82">
        <v>2006</v>
      </c>
      <c r="E82" t="s">
        <v>399</v>
      </c>
      <c r="G82" t="s">
        <v>409</v>
      </c>
      <c r="H82">
        <v>3</v>
      </c>
      <c r="I82" t="s">
        <v>69</v>
      </c>
      <c r="J82" s="14">
        <v>26.397279999999999</v>
      </c>
      <c r="K82" s="14">
        <v>-80.524259999999998</v>
      </c>
      <c r="O82" t="s">
        <v>80</v>
      </c>
      <c r="R82" t="s">
        <v>220</v>
      </c>
      <c r="S82" s="24" t="s">
        <v>82</v>
      </c>
      <c r="T82" t="s">
        <v>354</v>
      </c>
      <c r="V82" t="s">
        <v>112</v>
      </c>
      <c r="W82" s="30" t="s">
        <v>409</v>
      </c>
      <c r="Z82" s="22">
        <v>8.2000000000000003E-2</v>
      </c>
      <c r="AA82" s="22">
        <v>1.4999999999999999E-2</v>
      </c>
      <c r="AB82" s="36">
        <v>81.709999999999994</v>
      </c>
      <c r="AC82" t="s">
        <v>107</v>
      </c>
      <c r="AV82" t="s">
        <v>235</v>
      </c>
      <c r="AW82" s="30" t="s">
        <v>409</v>
      </c>
      <c r="BE82" s="23">
        <v>1.5</v>
      </c>
      <c r="BF82" s="36">
        <v>0.25500000000000012</v>
      </c>
      <c r="BG82" s="36">
        <v>1.2449999999999999</v>
      </c>
      <c r="BH82">
        <v>83</v>
      </c>
      <c r="BJ82">
        <f t="shared" si="0"/>
        <v>83</v>
      </c>
      <c r="BP82">
        <v>8980000</v>
      </c>
      <c r="BT82">
        <v>1</v>
      </c>
      <c r="BX82" t="s">
        <v>616</v>
      </c>
      <c r="BY82" t="s">
        <v>95</v>
      </c>
      <c r="CD82">
        <v>18.25</v>
      </c>
      <c r="CH82" t="s">
        <v>104</v>
      </c>
      <c r="CK82" t="s">
        <v>220</v>
      </c>
      <c r="CY82" s="24" t="s">
        <v>861</v>
      </c>
    </row>
    <row r="83" spans="1:103" x14ac:dyDescent="0.35">
      <c r="A83">
        <v>85</v>
      </c>
      <c r="B83" s="1">
        <v>69</v>
      </c>
      <c r="C83" t="s">
        <v>124</v>
      </c>
      <c r="D83">
        <v>2006</v>
      </c>
      <c r="E83" t="s">
        <v>400</v>
      </c>
      <c r="G83" t="s">
        <v>409</v>
      </c>
      <c r="H83">
        <v>3</v>
      </c>
      <c r="I83" t="s">
        <v>69</v>
      </c>
      <c r="J83" s="14">
        <v>26.443999999999999</v>
      </c>
      <c r="K83" s="14">
        <v>-80.903660000000002</v>
      </c>
      <c r="O83" t="s">
        <v>80</v>
      </c>
      <c r="R83" t="s">
        <v>220</v>
      </c>
      <c r="S83" s="24" t="s">
        <v>82</v>
      </c>
      <c r="T83" t="s">
        <v>338</v>
      </c>
      <c r="V83" t="s">
        <v>187</v>
      </c>
      <c r="W83" s="30" t="s">
        <v>409</v>
      </c>
      <c r="Z83" s="22">
        <v>0.17699999999999999</v>
      </c>
      <c r="AA83" s="22">
        <v>9.0999999999999998E-2</v>
      </c>
      <c r="AB83" s="36">
        <v>48.59</v>
      </c>
      <c r="AC83" t="s">
        <v>107</v>
      </c>
      <c r="AV83" t="s">
        <v>235</v>
      </c>
      <c r="AW83" s="30" t="s">
        <v>409</v>
      </c>
      <c r="BE83" s="23">
        <v>2.2999999999999998</v>
      </c>
      <c r="BF83" s="36">
        <v>1.2419999999999998</v>
      </c>
      <c r="BG83" s="36">
        <v>1.0580000000000001</v>
      </c>
      <c r="BH83">
        <v>46</v>
      </c>
      <c r="BJ83">
        <f t="shared" si="0"/>
        <v>46.000000000000007</v>
      </c>
      <c r="BP83">
        <v>8310000</v>
      </c>
      <c r="BT83">
        <v>2</v>
      </c>
      <c r="BX83" t="s">
        <v>623</v>
      </c>
      <c r="BY83" t="s">
        <v>96</v>
      </c>
      <c r="BZ83" t="s">
        <v>95</v>
      </c>
      <c r="CD83">
        <v>12.78</v>
      </c>
      <c r="CH83" t="s">
        <v>104</v>
      </c>
      <c r="CK83" t="s">
        <v>220</v>
      </c>
      <c r="CY83" s="24" t="s">
        <v>861</v>
      </c>
    </row>
    <row r="84" spans="1:103" x14ac:dyDescent="0.35">
      <c r="A84">
        <v>86</v>
      </c>
      <c r="B84" s="1">
        <v>69</v>
      </c>
      <c r="C84" t="s">
        <v>124</v>
      </c>
      <c r="D84">
        <v>2006</v>
      </c>
      <c r="E84" t="s">
        <v>401</v>
      </c>
      <c r="G84" t="s">
        <v>409</v>
      </c>
      <c r="H84">
        <v>3</v>
      </c>
      <c r="I84" t="s">
        <v>69</v>
      </c>
      <c r="J84" s="14">
        <v>26.443999999999999</v>
      </c>
      <c r="K84" s="14">
        <v>-80.903660000000002</v>
      </c>
      <c r="O84" t="s">
        <v>80</v>
      </c>
      <c r="R84" t="s">
        <v>220</v>
      </c>
      <c r="S84" s="24" t="s">
        <v>82</v>
      </c>
      <c r="T84" t="s">
        <v>338</v>
      </c>
      <c r="V84" t="s">
        <v>187</v>
      </c>
      <c r="W84" s="30" t="s">
        <v>409</v>
      </c>
      <c r="Z84" s="22">
        <v>0.23400000000000001</v>
      </c>
      <c r="AA84" s="22">
        <v>0.13300000000000001</v>
      </c>
      <c r="AB84" s="36">
        <v>43.16</v>
      </c>
      <c r="AC84" t="s">
        <v>107</v>
      </c>
      <c r="AV84" t="s">
        <v>235</v>
      </c>
      <c r="AW84" s="30" t="s">
        <v>409</v>
      </c>
      <c r="BE84" s="23">
        <v>2.1</v>
      </c>
      <c r="BF84" s="36">
        <v>0.94499999999999984</v>
      </c>
      <c r="BG84" s="36">
        <v>1.1550000000000002</v>
      </c>
      <c r="BH84">
        <v>55</v>
      </c>
      <c r="BJ84">
        <f t="shared" si="0"/>
        <v>55.000000000000007</v>
      </c>
      <c r="BP84">
        <v>8310000</v>
      </c>
      <c r="BT84">
        <v>2</v>
      </c>
      <c r="BX84" t="s">
        <v>622</v>
      </c>
      <c r="BY84" t="s">
        <v>96</v>
      </c>
      <c r="CD84">
        <v>8.76</v>
      </c>
      <c r="CH84" t="s">
        <v>104</v>
      </c>
      <c r="CK84" t="s">
        <v>220</v>
      </c>
      <c r="CY84" s="24" t="s">
        <v>861</v>
      </c>
    </row>
    <row r="85" spans="1:103" x14ac:dyDescent="0.35">
      <c r="A85">
        <v>87</v>
      </c>
      <c r="B85" s="1">
        <v>69</v>
      </c>
      <c r="C85" t="s">
        <v>124</v>
      </c>
      <c r="D85">
        <v>2006</v>
      </c>
      <c r="E85" t="s">
        <v>402</v>
      </c>
      <c r="G85" t="s">
        <v>410</v>
      </c>
      <c r="H85">
        <v>4</v>
      </c>
      <c r="I85" t="s">
        <v>69</v>
      </c>
      <c r="J85" s="14">
        <v>26.34881</v>
      </c>
      <c r="K85" s="14">
        <v>-80.886930000000007</v>
      </c>
      <c r="O85" t="s">
        <v>80</v>
      </c>
      <c r="R85" t="s">
        <v>220</v>
      </c>
      <c r="S85" s="24" t="s">
        <v>82</v>
      </c>
      <c r="T85" t="s">
        <v>338</v>
      </c>
      <c r="V85" t="s">
        <v>187</v>
      </c>
      <c r="W85" s="30" t="s">
        <v>410</v>
      </c>
      <c r="Z85" s="22">
        <v>6.9000000000000006E-2</v>
      </c>
      <c r="AA85" s="22">
        <v>1.7999999999999999E-2</v>
      </c>
      <c r="AB85" s="36">
        <v>73.91</v>
      </c>
      <c r="AC85" t="s">
        <v>107</v>
      </c>
      <c r="AV85" t="s">
        <v>235</v>
      </c>
      <c r="AW85" s="30" t="s">
        <v>410</v>
      </c>
      <c r="BE85" s="23">
        <v>1.7</v>
      </c>
      <c r="BF85" s="36">
        <v>0.30600000000000005</v>
      </c>
      <c r="BG85" s="36">
        <v>1.3939999999999999</v>
      </c>
      <c r="BH85">
        <v>82</v>
      </c>
      <c r="BJ85">
        <f t="shared" si="0"/>
        <v>82</v>
      </c>
      <c r="BP85">
        <v>990000</v>
      </c>
      <c r="BT85">
        <v>1</v>
      </c>
      <c r="BX85" t="s">
        <v>622</v>
      </c>
      <c r="BY85" t="s">
        <v>96</v>
      </c>
      <c r="CD85">
        <v>24.82</v>
      </c>
      <c r="CH85" t="s">
        <v>104</v>
      </c>
      <c r="CK85" t="s">
        <v>406</v>
      </c>
      <c r="CY85" s="24" t="s">
        <v>861</v>
      </c>
    </row>
    <row r="86" spans="1:103" x14ac:dyDescent="0.35">
      <c r="A86">
        <v>88</v>
      </c>
      <c r="B86" s="1">
        <v>69</v>
      </c>
      <c r="C86" t="s">
        <v>124</v>
      </c>
      <c r="D86">
        <v>2006</v>
      </c>
      <c r="E86" t="s">
        <v>403</v>
      </c>
      <c r="G86" t="s">
        <v>410</v>
      </c>
      <c r="H86">
        <v>4</v>
      </c>
      <c r="I86" t="s">
        <v>69</v>
      </c>
      <c r="J86" s="14">
        <v>26.34881</v>
      </c>
      <c r="K86" s="14">
        <v>-80.886930000000007</v>
      </c>
      <c r="O86" t="s">
        <v>80</v>
      </c>
      <c r="R86" t="s">
        <v>220</v>
      </c>
      <c r="S86" s="24" t="s">
        <v>82</v>
      </c>
      <c r="T86" t="s">
        <v>338</v>
      </c>
      <c r="V86" t="s">
        <v>187</v>
      </c>
      <c r="W86" s="30" t="s">
        <v>410</v>
      </c>
      <c r="Z86" s="22">
        <v>7.0000000000000007E-2</v>
      </c>
      <c r="AA86" s="22">
        <v>1.7000000000000001E-2</v>
      </c>
      <c r="AB86" s="36">
        <v>75.709999999999994</v>
      </c>
      <c r="AC86" t="s">
        <v>107</v>
      </c>
      <c r="AV86" t="s">
        <v>235</v>
      </c>
      <c r="AW86" s="30" t="s">
        <v>410</v>
      </c>
      <c r="BE86" s="23">
        <v>0.8</v>
      </c>
      <c r="BF86" s="36">
        <v>0.14400000000000002</v>
      </c>
      <c r="BG86" s="36">
        <v>0.65600000000000003</v>
      </c>
      <c r="BH86">
        <v>82</v>
      </c>
      <c r="BJ86">
        <f t="shared" si="0"/>
        <v>82</v>
      </c>
      <c r="BP86">
        <v>2530000</v>
      </c>
      <c r="BT86">
        <v>1</v>
      </c>
      <c r="BX86" t="s">
        <v>622</v>
      </c>
      <c r="BY86" t="s">
        <v>96</v>
      </c>
      <c r="CD86">
        <v>11.32</v>
      </c>
      <c r="CH86" t="s">
        <v>104</v>
      </c>
      <c r="CK86" t="s">
        <v>406</v>
      </c>
      <c r="CY86" s="24" t="s">
        <v>861</v>
      </c>
    </row>
    <row r="87" spans="1:103" x14ac:dyDescent="0.35">
      <c r="A87">
        <v>90</v>
      </c>
      <c r="B87" s="1">
        <v>70</v>
      </c>
      <c r="C87" t="s">
        <v>114</v>
      </c>
      <c r="D87">
        <v>2012</v>
      </c>
      <c r="E87" t="s">
        <v>466</v>
      </c>
      <c r="G87" s="29" t="s">
        <v>213</v>
      </c>
      <c r="H87">
        <v>10</v>
      </c>
      <c r="I87" t="s">
        <v>212</v>
      </c>
      <c r="M87">
        <v>7</v>
      </c>
      <c r="O87" s="29" t="s">
        <v>267</v>
      </c>
      <c r="Q87">
        <v>0</v>
      </c>
      <c r="R87" t="s">
        <v>229</v>
      </c>
      <c r="T87" t="s">
        <v>230</v>
      </c>
      <c r="V87" t="s">
        <v>112</v>
      </c>
      <c r="W87" s="29" t="s">
        <v>213</v>
      </c>
      <c r="X87" t="s">
        <v>238</v>
      </c>
      <c r="Y87" t="s">
        <v>87</v>
      </c>
      <c r="Z87" s="14">
        <v>0.378</v>
      </c>
      <c r="AA87" s="22">
        <v>0.255</v>
      </c>
      <c r="AB87" s="36">
        <v>32.54</v>
      </c>
      <c r="AC87" s="22" t="s">
        <v>277</v>
      </c>
      <c r="AQ87" t="s">
        <v>88</v>
      </c>
      <c r="AR87" t="s">
        <v>88</v>
      </c>
      <c r="AS87" t="s">
        <v>87</v>
      </c>
      <c r="AT87">
        <v>7.74</v>
      </c>
      <c r="AU87">
        <v>7.63</v>
      </c>
      <c r="AV87" t="s">
        <v>235</v>
      </c>
      <c r="AW87" s="29" t="s">
        <v>213</v>
      </c>
      <c r="AX87" t="s">
        <v>452</v>
      </c>
      <c r="AY87">
        <v>1196470</v>
      </c>
      <c r="BA87" s="24" t="s">
        <v>241</v>
      </c>
      <c r="BC87" s="24" t="s">
        <v>236</v>
      </c>
      <c r="BD87" t="s">
        <v>87</v>
      </c>
      <c r="BE87" s="39">
        <v>7.29</v>
      </c>
      <c r="BF87" s="39">
        <v>5.03</v>
      </c>
      <c r="BG87" s="21">
        <v>2.2599999999999998</v>
      </c>
      <c r="BH87">
        <v>33</v>
      </c>
      <c r="BI87">
        <v>9.1999999999999993</v>
      </c>
      <c r="BP87" s="13">
        <v>62000</v>
      </c>
      <c r="BS87">
        <v>1</v>
      </c>
      <c r="BT87">
        <v>2</v>
      </c>
      <c r="BW87">
        <v>1.3</v>
      </c>
      <c r="BX87" t="s">
        <v>625</v>
      </c>
      <c r="BY87" t="s">
        <v>96</v>
      </c>
      <c r="CC87">
        <v>225.6</v>
      </c>
      <c r="CD87">
        <v>19.350000000000001</v>
      </c>
      <c r="CE87">
        <v>1.67</v>
      </c>
      <c r="CG87" t="s">
        <v>348</v>
      </c>
      <c r="CI87" t="s">
        <v>243</v>
      </c>
      <c r="CK87" t="s">
        <v>220</v>
      </c>
      <c r="CO87" t="s">
        <v>88</v>
      </c>
      <c r="CP87" s="24" t="s">
        <v>651</v>
      </c>
      <c r="CQ87" s="24" t="s">
        <v>242</v>
      </c>
      <c r="CU87" t="s">
        <v>88</v>
      </c>
      <c r="CV87" t="s">
        <v>88</v>
      </c>
      <c r="CX87" t="s">
        <v>850</v>
      </c>
      <c r="CY87" s="24" t="s">
        <v>902</v>
      </c>
    </row>
    <row r="88" spans="1:103" x14ac:dyDescent="0.35">
      <c r="A88">
        <v>113</v>
      </c>
      <c r="B88" s="1">
        <v>71</v>
      </c>
      <c r="C88" t="s">
        <v>142</v>
      </c>
      <c r="D88">
        <v>2006</v>
      </c>
      <c r="E88" t="s">
        <v>656</v>
      </c>
      <c r="G88">
        <v>1999</v>
      </c>
      <c r="I88" t="s">
        <v>200</v>
      </c>
      <c r="N88">
        <v>957</v>
      </c>
      <c r="R88" t="s">
        <v>220</v>
      </c>
      <c r="S88" s="24" t="s">
        <v>82</v>
      </c>
      <c r="T88" t="s">
        <v>661</v>
      </c>
      <c r="V88" t="s">
        <v>187</v>
      </c>
      <c r="W88" s="30">
        <v>1999</v>
      </c>
      <c r="Y88" t="s">
        <v>87</v>
      </c>
      <c r="AC88" t="s">
        <v>107</v>
      </c>
      <c r="AJ88" s="22"/>
      <c r="AK88" s="22"/>
      <c r="AQ88" t="s">
        <v>88</v>
      </c>
      <c r="AR88" t="s">
        <v>88</v>
      </c>
      <c r="AS88" t="s">
        <v>87</v>
      </c>
      <c r="AV88" t="s">
        <v>660</v>
      </c>
      <c r="AW88" s="30">
        <v>1999</v>
      </c>
      <c r="AX88" t="s">
        <v>523</v>
      </c>
      <c r="AY88">
        <v>8098</v>
      </c>
      <c r="BA88">
        <v>8065</v>
      </c>
      <c r="BD88" t="s">
        <v>87</v>
      </c>
      <c r="BH88">
        <v>79</v>
      </c>
      <c r="BL88">
        <v>0.01</v>
      </c>
      <c r="BN88">
        <v>86</v>
      </c>
      <c r="BP88">
        <v>1600</v>
      </c>
      <c r="BQ88">
        <v>3.76</v>
      </c>
      <c r="BR88">
        <v>0.04</v>
      </c>
      <c r="BX88" t="s">
        <v>659</v>
      </c>
      <c r="BY88" t="s">
        <v>96</v>
      </c>
      <c r="CI88" t="s">
        <v>658</v>
      </c>
      <c r="CK88" t="s">
        <v>220</v>
      </c>
      <c r="CQ88" t="s">
        <v>662</v>
      </c>
      <c r="CY88" s="24"/>
    </row>
    <row r="89" spans="1:103" x14ac:dyDescent="0.35">
      <c r="A89">
        <v>114</v>
      </c>
      <c r="B89" s="1">
        <v>71</v>
      </c>
      <c r="C89" t="s">
        <v>142</v>
      </c>
      <c r="D89">
        <v>2006</v>
      </c>
      <c r="E89" t="s">
        <v>657</v>
      </c>
      <c r="G89">
        <v>1999</v>
      </c>
      <c r="I89" t="s">
        <v>200</v>
      </c>
      <c r="N89">
        <v>957</v>
      </c>
      <c r="R89" t="s">
        <v>220</v>
      </c>
      <c r="S89" s="24" t="s">
        <v>82</v>
      </c>
      <c r="T89" t="s">
        <v>661</v>
      </c>
      <c r="V89" t="s">
        <v>187</v>
      </c>
      <c r="W89" s="30">
        <v>1999</v>
      </c>
      <c r="Y89" t="s">
        <v>87</v>
      </c>
      <c r="AC89" t="s">
        <v>107</v>
      </c>
      <c r="AJ89" s="22"/>
      <c r="AK89" s="22"/>
      <c r="AQ89" t="s">
        <v>88</v>
      </c>
      <c r="AR89" t="s">
        <v>88</v>
      </c>
      <c r="AS89" t="s">
        <v>87</v>
      </c>
      <c r="AV89" t="s">
        <v>660</v>
      </c>
      <c r="AW89" s="30">
        <v>1999</v>
      </c>
      <c r="AX89" t="s">
        <v>523</v>
      </c>
      <c r="AY89">
        <v>31852</v>
      </c>
      <c r="BA89">
        <v>20762</v>
      </c>
      <c r="BD89" t="s">
        <v>87</v>
      </c>
      <c r="BH89">
        <v>40</v>
      </c>
      <c r="BL89">
        <v>0.06</v>
      </c>
      <c r="BN89">
        <v>33</v>
      </c>
      <c r="BP89">
        <v>4000</v>
      </c>
      <c r="BQ89">
        <v>12.3</v>
      </c>
      <c r="BR89">
        <v>0.03</v>
      </c>
      <c r="BX89" t="s">
        <v>659</v>
      </c>
      <c r="BY89" t="s">
        <v>96</v>
      </c>
      <c r="CI89" t="s">
        <v>658</v>
      </c>
      <c r="CK89" t="s">
        <v>220</v>
      </c>
      <c r="CQ89" t="s">
        <v>662</v>
      </c>
      <c r="CY89" s="24"/>
    </row>
    <row r="90" spans="1:103" x14ac:dyDescent="0.35">
      <c r="A90">
        <v>104</v>
      </c>
      <c r="B90" s="1">
        <v>72</v>
      </c>
      <c r="C90" t="s">
        <v>148</v>
      </c>
      <c r="D90">
        <v>2000</v>
      </c>
      <c r="E90" t="s">
        <v>789</v>
      </c>
      <c r="G90" t="s">
        <v>326</v>
      </c>
      <c r="H90">
        <v>1</v>
      </c>
      <c r="I90" t="s">
        <v>200</v>
      </c>
      <c r="J90">
        <v>39.914000000000001</v>
      </c>
      <c r="K90">
        <v>-86.191999999999993</v>
      </c>
      <c r="N90">
        <v>790</v>
      </c>
      <c r="O90" t="s">
        <v>792</v>
      </c>
      <c r="R90" t="s">
        <v>296</v>
      </c>
      <c r="S90" s="24" t="s">
        <v>386</v>
      </c>
      <c r="T90" t="s">
        <v>795</v>
      </c>
      <c r="W90" t="s">
        <v>326</v>
      </c>
      <c r="Y90" t="s">
        <v>87</v>
      </c>
      <c r="Z90" s="22"/>
      <c r="AA90" s="22"/>
      <c r="AQ90" t="s">
        <v>88</v>
      </c>
      <c r="AR90" t="s">
        <v>88</v>
      </c>
      <c r="AS90" t="s">
        <v>87</v>
      </c>
      <c r="AV90" t="s">
        <v>700</v>
      </c>
      <c r="AW90" t="s">
        <v>326</v>
      </c>
      <c r="AX90" t="s">
        <v>523</v>
      </c>
      <c r="AY90">
        <v>30500</v>
      </c>
      <c r="BA90">
        <v>14100</v>
      </c>
      <c r="BD90" t="s">
        <v>87</v>
      </c>
      <c r="BE90">
        <v>0.9</v>
      </c>
      <c r="BF90">
        <v>0.75</v>
      </c>
      <c r="BG90" s="36">
        <v>0.15000000000000002</v>
      </c>
      <c r="BH90">
        <v>17</v>
      </c>
      <c r="BP90">
        <v>6000</v>
      </c>
      <c r="BQ90">
        <v>15</v>
      </c>
      <c r="BR90" s="36">
        <v>4</v>
      </c>
      <c r="BU90">
        <v>0.9</v>
      </c>
      <c r="BX90" t="s">
        <v>686</v>
      </c>
      <c r="BY90" t="s">
        <v>96</v>
      </c>
      <c r="CC90">
        <v>840</v>
      </c>
      <c r="CH90" t="s">
        <v>104</v>
      </c>
      <c r="CI90" t="s">
        <v>309</v>
      </c>
      <c r="CK90" t="s">
        <v>794</v>
      </c>
      <c r="CQ90" t="s">
        <v>803</v>
      </c>
      <c r="CY90" s="24" t="s">
        <v>802</v>
      </c>
    </row>
    <row r="91" spans="1:103" x14ac:dyDescent="0.35">
      <c r="A91">
        <v>105</v>
      </c>
      <c r="B91" s="1">
        <v>72</v>
      </c>
      <c r="C91" t="s">
        <v>148</v>
      </c>
      <c r="D91">
        <v>2000</v>
      </c>
      <c r="E91" t="s">
        <v>789</v>
      </c>
      <c r="G91" t="s">
        <v>793</v>
      </c>
      <c r="H91">
        <v>1</v>
      </c>
      <c r="I91" t="s">
        <v>200</v>
      </c>
      <c r="J91">
        <v>39.914000000000001</v>
      </c>
      <c r="K91">
        <v>-86.191999999999993</v>
      </c>
      <c r="N91">
        <v>990</v>
      </c>
      <c r="O91" t="s">
        <v>792</v>
      </c>
      <c r="R91" t="s">
        <v>296</v>
      </c>
      <c r="S91" s="24" t="s">
        <v>386</v>
      </c>
      <c r="T91" t="s">
        <v>795</v>
      </c>
      <c r="W91" t="s">
        <v>793</v>
      </c>
      <c r="Y91" t="s">
        <v>87</v>
      </c>
      <c r="Z91" s="22"/>
      <c r="AA91" s="22"/>
      <c r="AQ91" t="s">
        <v>88</v>
      </c>
      <c r="AR91" t="s">
        <v>88</v>
      </c>
      <c r="AS91" t="s">
        <v>87</v>
      </c>
      <c r="AV91" t="s">
        <v>700</v>
      </c>
      <c r="AW91" t="s">
        <v>793</v>
      </c>
      <c r="AX91" t="s">
        <v>523</v>
      </c>
      <c r="AY91">
        <v>59200</v>
      </c>
      <c r="BA91">
        <v>37800</v>
      </c>
      <c r="BD91" t="s">
        <v>87</v>
      </c>
      <c r="BE91">
        <v>1.65</v>
      </c>
      <c r="BF91">
        <v>1.48</v>
      </c>
      <c r="BG91" s="36">
        <v>0.16999999999999993</v>
      </c>
      <c r="BH91">
        <v>10</v>
      </c>
      <c r="BP91">
        <v>6000</v>
      </c>
      <c r="BQ91">
        <v>15</v>
      </c>
      <c r="BR91" s="36">
        <v>4</v>
      </c>
      <c r="BU91">
        <v>0.9</v>
      </c>
      <c r="BX91" t="s">
        <v>686</v>
      </c>
      <c r="BY91" t="s">
        <v>96</v>
      </c>
      <c r="CC91">
        <v>192</v>
      </c>
      <c r="CH91" t="s">
        <v>104</v>
      </c>
      <c r="CI91" t="s">
        <v>309</v>
      </c>
      <c r="CK91" t="s">
        <v>794</v>
      </c>
      <c r="CQ91" t="s">
        <v>803</v>
      </c>
      <c r="CY91" s="24" t="s">
        <v>802</v>
      </c>
    </row>
    <row r="92" spans="1:103" x14ac:dyDescent="0.35">
      <c r="A92">
        <v>106</v>
      </c>
      <c r="B92" s="1">
        <v>72</v>
      </c>
      <c r="C92" t="s">
        <v>148</v>
      </c>
      <c r="D92">
        <v>2000</v>
      </c>
      <c r="E92" t="s">
        <v>789</v>
      </c>
      <c r="G92" t="s">
        <v>765</v>
      </c>
      <c r="H92">
        <v>1</v>
      </c>
      <c r="I92" t="s">
        <v>200</v>
      </c>
      <c r="J92">
        <v>39.914000000000001</v>
      </c>
      <c r="K92">
        <v>-86.191999999999993</v>
      </c>
      <c r="N92">
        <v>991</v>
      </c>
      <c r="O92" t="s">
        <v>792</v>
      </c>
      <c r="R92" t="s">
        <v>296</v>
      </c>
      <c r="S92" s="24" t="s">
        <v>386</v>
      </c>
      <c r="T92" t="s">
        <v>795</v>
      </c>
      <c r="W92" t="s">
        <v>765</v>
      </c>
      <c r="Y92" t="s">
        <v>87</v>
      </c>
      <c r="Z92" s="22"/>
      <c r="AA92" s="22"/>
      <c r="AQ92" t="s">
        <v>88</v>
      </c>
      <c r="AR92" t="s">
        <v>88</v>
      </c>
      <c r="AS92" t="s">
        <v>87</v>
      </c>
      <c r="AV92" t="s">
        <v>700</v>
      </c>
      <c r="AW92" t="s">
        <v>765</v>
      </c>
      <c r="AX92" t="s">
        <v>523</v>
      </c>
      <c r="AY92">
        <v>54300</v>
      </c>
      <c r="BA92">
        <v>27700</v>
      </c>
      <c r="BD92" t="s">
        <v>87</v>
      </c>
      <c r="BE92">
        <v>2.4500000000000002</v>
      </c>
      <c r="BF92">
        <v>1.6</v>
      </c>
      <c r="BG92" s="36">
        <v>0.85000000000000009</v>
      </c>
      <c r="BH92">
        <v>35</v>
      </c>
      <c r="BP92">
        <v>6000</v>
      </c>
      <c r="BQ92">
        <v>15</v>
      </c>
      <c r="BR92" s="36">
        <v>4</v>
      </c>
      <c r="BU92">
        <v>0.9</v>
      </c>
      <c r="BX92" t="s">
        <v>686</v>
      </c>
      <c r="BY92" t="s">
        <v>96</v>
      </c>
      <c r="CC92">
        <v>456</v>
      </c>
      <c r="CH92" t="s">
        <v>104</v>
      </c>
      <c r="CI92" t="s">
        <v>309</v>
      </c>
      <c r="CK92" t="s">
        <v>794</v>
      </c>
      <c r="CQ92" t="s">
        <v>803</v>
      </c>
      <c r="CY92" s="24" t="s">
        <v>802</v>
      </c>
    </row>
    <row r="93" spans="1:103" x14ac:dyDescent="0.35">
      <c r="A93">
        <v>107</v>
      </c>
      <c r="B93" s="1">
        <v>72</v>
      </c>
      <c r="C93" t="s">
        <v>148</v>
      </c>
      <c r="D93">
        <v>2000</v>
      </c>
      <c r="E93" t="s">
        <v>790</v>
      </c>
      <c r="G93" t="s">
        <v>326</v>
      </c>
      <c r="H93">
        <v>1</v>
      </c>
      <c r="I93" t="s">
        <v>200</v>
      </c>
      <c r="J93">
        <v>39.914000000000001</v>
      </c>
      <c r="K93">
        <v>-86.191999999999993</v>
      </c>
      <c r="N93">
        <v>790</v>
      </c>
      <c r="O93" t="s">
        <v>792</v>
      </c>
      <c r="R93" t="s">
        <v>296</v>
      </c>
      <c r="S93" s="24" t="s">
        <v>386</v>
      </c>
      <c r="T93" t="s">
        <v>795</v>
      </c>
      <c r="W93" t="s">
        <v>326</v>
      </c>
      <c r="Y93" t="s">
        <v>87</v>
      </c>
      <c r="Z93" s="22"/>
      <c r="AA93" s="22"/>
      <c r="AQ93" t="s">
        <v>88</v>
      </c>
      <c r="AR93" t="s">
        <v>88</v>
      </c>
      <c r="AS93" t="s">
        <v>87</v>
      </c>
      <c r="AV93" t="s">
        <v>700</v>
      </c>
      <c r="AW93" t="s">
        <v>326</v>
      </c>
      <c r="AX93" t="s">
        <v>523</v>
      </c>
      <c r="AY93">
        <v>13000</v>
      </c>
      <c r="BA93">
        <v>7200</v>
      </c>
      <c r="BD93" t="s">
        <v>87</v>
      </c>
      <c r="BE93">
        <v>0.5</v>
      </c>
      <c r="BF93">
        <v>0.1</v>
      </c>
      <c r="BG93" s="36">
        <v>0.4</v>
      </c>
      <c r="BH93">
        <v>80</v>
      </c>
      <c r="BP93">
        <v>3000</v>
      </c>
      <c r="BQ93">
        <v>5</v>
      </c>
      <c r="BR93" s="36">
        <v>6</v>
      </c>
      <c r="BU93">
        <v>0.4</v>
      </c>
      <c r="BX93" t="s">
        <v>796</v>
      </c>
      <c r="BY93" t="s">
        <v>96</v>
      </c>
      <c r="CC93">
        <v>408</v>
      </c>
      <c r="CH93" t="s">
        <v>104</v>
      </c>
      <c r="CI93" t="s">
        <v>309</v>
      </c>
      <c r="CK93" t="s">
        <v>794</v>
      </c>
      <c r="CQ93" t="s">
        <v>803</v>
      </c>
      <c r="CY93" s="24" t="s">
        <v>802</v>
      </c>
    </row>
    <row r="94" spans="1:103" x14ac:dyDescent="0.35">
      <c r="A94">
        <v>108</v>
      </c>
      <c r="B94" s="1">
        <v>72</v>
      </c>
      <c r="C94" t="s">
        <v>148</v>
      </c>
      <c r="D94">
        <v>2000</v>
      </c>
      <c r="E94" t="s">
        <v>790</v>
      </c>
      <c r="G94" t="s">
        <v>793</v>
      </c>
      <c r="H94">
        <v>1</v>
      </c>
      <c r="I94" t="s">
        <v>200</v>
      </c>
      <c r="J94">
        <v>39.914000000000001</v>
      </c>
      <c r="K94">
        <v>-86.191999999999993</v>
      </c>
      <c r="N94">
        <v>990</v>
      </c>
      <c r="O94" t="s">
        <v>792</v>
      </c>
      <c r="R94" t="s">
        <v>296</v>
      </c>
      <c r="S94" s="24" t="s">
        <v>386</v>
      </c>
      <c r="T94" t="s">
        <v>795</v>
      </c>
      <c r="W94" t="s">
        <v>793</v>
      </c>
      <c r="Y94" t="s">
        <v>87</v>
      </c>
      <c r="Z94" s="22"/>
      <c r="AA94" s="22"/>
      <c r="AQ94" t="s">
        <v>88</v>
      </c>
      <c r="AR94" t="s">
        <v>88</v>
      </c>
      <c r="AS94" t="s">
        <v>87</v>
      </c>
      <c r="AV94" t="s">
        <v>700</v>
      </c>
      <c r="AW94" t="s">
        <v>793</v>
      </c>
      <c r="AX94" t="s">
        <v>523</v>
      </c>
      <c r="AY94">
        <v>19300</v>
      </c>
      <c r="BA94">
        <v>10000</v>
      </c>
      <c r="BD94" t="s">
        <v>87</v>
      </c>
      <c r="BE94">
        <v>0.8</v>
      </c>
      <c r="BF94">
        <v>0.9</v>
      </c>
      <c r="BG94" s="36">
        <v>-9.9999999999999978E-2</v>
      </c>
      <c r="BH94">
        <v>-13</v>
      </c>
      <c r="BP94">
        <v>3000</v>
      </c>
      <c r="BQ94">
        <v>5</v>
      </c>
      <c r="BR94" s="36">
        <v>6</v>
      </c>
      <c r="BU94">
        <v>0.4</v>
      </c>
      <c r="BX94" t="s">
        <v>796</v>
      </c>
      <c r="BY94" t="s">
        <v>96</v>
      </c>
      <c r="CC94">
        <v>336</v>
      </c>
      <c r="CH94" t="s">
        <v>104</v>
      </c>
      <c r="CI94" t="s">
        <v>309</v>
      </c>
      <c r="CK94" t="s">
        <v>794</v>
      </c>
      <c r="CQ94" t="s">
        <v>803</v>
      </c>
      <c r="CY94" s="24" t="s">
        <v>802</v>
      </c>
    </row>
    <row r="95" spans="1:103" x14ac:dyDescent="0.35">
      <c r="A95">
        <v>109</v>
      </c>
      <c r="B95" s="1">
        <v>72</v>
      </c>
      <c r="C95" t="s">
        <v>148</v>
      </c>
      <c r="D95">
        <v>2000</v>
      </c>
      <c r="E95" t="s">
        <v>790</v>
      </c>
      <c r="G95" t="s">
        <v>765</v>
      </c>
      <c r="H95">
        <v>1</v>
      </c>
      <c r="I95" t="s">
        <v>200</v>
      </c>
      <c r="J95">
        <v>39.914000000000001</v>
      </c>
      <c r="K95">
        <v>-86.191999999999993</v>
      </c>
      <c r="N95">
        <v>991</v>
      </c>
      <c r="O95" t="s">
        <v>792</v>
      </c>
      <c r="R95" t="s">
        <v>296</v>
      </c>
      <c r="S95" s="24" t="s">
        <v>386</v>
      </c>
      <c r="T95" t="s">
        <v>795</v>
      </c>
      <c r="W95" t="s">
        <v>765</v>
      </c>
      <c r="Y95" t="s">
        <v>87</v>
      </c>
      <c r="Z95" s="22"/>
      <c r="AA95" s="22"/>
      <c r="AQ95" t="s">
        <v>88</v>
      </c>
      <c r="AR95" t="s">
        <v>88</v>
      </c>
      <c r="AS95" t="s">
        <v>87</v>
      </c>
      <c r="AV95" t="s">
        <v>700</v>
      </c>
      <c r="AW95" t="s">
        <v>765</v>
      </c>
      <c r="AX95" t="s">
        <v>523</v>
      </c>
      <c r="AY95">
        <v>15400</v>
      </c>
      <c r="BA95">
        <v>7200</v>
      </c>
      <c r="BD95" t="s">
        <v>87</v>
      </c>
      <c r="BE95">
        <v>0.7</v>
      </c>
      <c r="BF95">
        <v>0.47</v>
      </c>
      <c r="BG95" s="36">
        <v>0.22999999999999998</v>
      </c>
      <c r="BH95">
        <v>38</v>
      </c>
      <c r="BP95">
        <v>3000</v>
      </c>
      <c r="BQ95">
        <v>5</v>
      </c>
      <c r="BR95" s="36">
        <v>6</v>
      </c>
      <c r="BU95">
        <v>0.4</v>
      </c>
      <c r="BX95" t="s">
        <v>796</v>
      </c>
      <c r="BY95" t="s">
        <v>96</v>
      </c>
      <c r="CC95">
        <v>264</v>
      </c>
      <c r="CH95" t="s">
        <v>104</v>
      </c>
      <c r="CI95" t="s">
        <v>309</v>
      </c>
      <c r="CK95" t="s">
        <v>794</v>
      </c>
      <c r="CQ95" t="s">
        <v>803</v>
      </c>
      <c r="CY95" s="24" t="s">
        <v>802</v>
      </c>
    </row>
    <row r="96" spans="1:103" x14ac:dyDescent="0.35">
      <c r="A96">
        <v>110</v>
      </c>
      <c r="B96" s="1">
        <v>72</v>
      </c>
      <c r="C96" t="s">
        <v>148</v>
      </c>
      <c r="D96">
        <v>2000</v>
      </c>
      <c r="E96" t="s">
        <v>791</v>
      </c>
      <c r="G96" t="s">
        <v>326</v>
      </c>
      <c r="H96">
        <v>1</v>
      </c>
      <c r="I96" t="s">
        <v>200</v>
      </c>
      <c r="J96">
        <v>39.914000000000001</v>
      </c>
      <c r="K96">
        <v>-86.191999999999993</v>
      </c>
      <c r="N96">
        <v>790</v>
      </c>
      <c r="O96" t="s">
        <v>792</v>
      </c>
      <c r="R96" t="s">
        <v>296</v>
      </c>
      <c r="S96" s="24" t="s">
        <v>386</v>
      </c>
      <c r="T96" t="s">
        <v>795</v>
      </c>
      <c r="W96" t="s">
        <v>326</v>
      </c>
      <c r="Y96" t="s">
        <v>87</v>
      </c>
      <c r="Z96" s="22"/>
      <c r="AA96" s="22"/>
      <c r="AQ96" t="s">
        <v>88</v>
      </c>
      <c r="AR96" t="s">
        <v>88</v>
      </c>
      <c r="AS96" t="s">
        <v>87</v>
      </c>
      <c r="AV96" t="s">
        <v>700</v>
      </c>
      <c r="AW96" t="s">
        <v>326</v>
      </c>
      <c r="AX96" t="s">
        <v>523</v>
      </c>
      <c r="AY96">
        <v>58400</v>
      </c>
      <c r="BA96">
        <v>39900</v>
      </c>
      <c r="BD96" t="s">
        <v>87</v>
      </c>
      <c r="BE96">
        <v>0.6</v>
      </c>
      <c r="BF96">
        <v>0.51</v>
      </c>
      <c r="BG96" s="36">
        <v>8.9999999999999969E-2</v>
      </c>
      <c r="BH96">
        <v>14.6</v>
      </c>
      <c r="BP96">
        <v>8000</v>
      </c>
      <c r="BQ96">
        <v>25</v>
      </c>
      <c r="BR96" s="36">
        <v>3.2</v>
      </c>
      <c r="BU96">
        <v>0.7</v>
      </c>
      <c r="BX96" t="s">
        <v>686</v>
      </c>
      <c r="BY96" t="s">
        <v>96</v>
      </c>
      <c r="CC96">
        <v>624</v>
      </c>
      <c r="CH96" t="s">
        <v>104</v>
      </c>
      <c r="CI96" t="s">
        <v>309</v>
      </c>
      <c r="CK96" t="s">
        <v>794</v>
      </c>
      <c r="CQ96" t="s">
        <v>803</v>
      </c>
      <c r="CY96" s="24" t="s">
        <v>802</v>
      </c>
    </row>
    <row r="97" spans="1:103" x14ac:dyDescent="0.35">
      <c r="A97">
        <v>111</v>
      </c>
      <c r="B97" s="1">
        <v>72</v>
      </c>
      <c r="C97" t="s">
        <v>148</v>
      </c>
      <c r="D97">
        <v>2000</v>
      </c>
      <c r="E97" t="s">
        <v>791</v>
      </c>
      <c r="G97" t="s">
        <v>793</v>
      </c>
      <c r="H97">
        <v>1</v>
      </c>
      <c r="I97" t="s">
        <v>200</v>
      </c>
      <c r="J97">
        <v>39.914000000000001</v>
      </c>
      <c r="K97">
        <v>-86.191999999999993</v>
      </c>
      <c r="N97">
        <v>990</v>
      </c>
      <c r="O97" t="s">
        <v>792</v>
      </c>
      <c r="R97" t="s">
        <v>296</v>
      </c>
      <c r="S97" s="24" t="s">
        <v>386</v>
      </c>
      <c r="T97" t="s">
        <v>795</v>
      </c>
      <c r="W97" t="s">
        <v>793</v>
      </c>
      <c r="Y97" t="s">
        <v>87</v>
      </c>
      <c r="Z97" s="22"/>
      <c r="AA97" s="22"/>
      <c r="AQ97" t="s">
        <v>88</v>
      </c>
      <c r="AR97" t="s">
        <v>88</v>
      </c>
      <c r="AS97" t="s">
        <v>87</v>
      </c>
      <c r="AV97" t="s">
        <v>700</v>
      </c>
      <c r="AW97" t="s">
        <v>793</v>
      </c>
      <c r="AX97" t="s">
        <v>523</v>
      </c>
      <c r="AY97">
        <v>10600</v>
      </c>
      <c r="BA97">
        <v>99000</v>
      </c>
      <c r="BD97" t="s">
        <v>87</v>
      </c>
      <c r="BE97">
        <v>1.43</v>
      </c>
      <c r="BF97">
        <v>1.64</v>
      </c>
      <c r="BG97" s="36">
        <v>-0.20999999999999996</v>
      </c>
      <c r="BH97">
        <v>-14.8</v>
      </c>
      <c r="BP97">
        <v>8000</v>
      </c>
      <c r="BQ97">
        <v>25</v>
      </c>
      <c r="BR97" s="36">
        <v>3.2</v>
      </c>
      <c r="BU97">
        <v>0.7</v>
      </c>
      <c r="BX97" t="s">
        <v>686</v>
      </c>
      <c r="BY97" t="s">
        <v>96</v>
      </c>
      <c r="CC97">
        <v>312</v>
      </c>
      <c r="CH97" t="s">
        <v>104</v>
      </c>
      <c r="CI97" t="s">
        <v>309</v>
      </c>
      <c r="CK97" t="s">
        <v>794</v>
      </c>
      <c r="CQ97" t="s">
        <v>803</v>
      </c>
      <c r="CY97" s="24" t="s">
        <v>802</v>
      </c>
    </row>
    <row r="98" spans="1:103" x14ac:dyDescent="0.35">
      <c r="A98">
        <v>112</v>
      </c>
      <c r="B98" s="1">
        <v>72</v>
      </c>
      <c r="C98" t="s">
        <v>148</v>
      </c>
      <c r="D98">
        <v>2000</v>
      </c>
      <c r="E98" t="s">
        <v>791</v>
      </c>
      <c r="G98" t="s">
        <v>765</v>
      </c>
      <c r="H98">
        <v>1</v>
      </c>
      <c r="I98" t="s">
        <v>200</v>
      </c>
      <c r="J98">
        <v>39.914000000000001</v>
      </c>
      <c r="K98">
        <v>-86.191999999999993</v>
      </c>
      <c r="N98">
        <v>991</v>
      </c>
      <c r="O98" t="s">
        <v>792</v>
      </c>
      <c r="R98" t="s">
        <v>296</v>
      </c>
      <c r="S98" s="24" t="s">
        <v>386</v>
      </c>
      <c r="T98" t="s">
        <v>795</v>
      </c>
      <c r="W98" t="s">
        <v>765</v>
      </c>
      <c r="Y98" t="s">
        <v>87</v>
      </c>
      <c r="Z98" s="22"/>
      <c r="AA98" s="22"/>
      <c r="AQ98" t="s">
        <v>88</v>
      </c>
      <c r="AR98" t="s">
        <v>88</v>
      </c>
      <c r="AS98" t="s">
        <v>87</v>
      </c>
      <c r="AV98" t="s">
        <v>700</v>
      </c>
      <c r="AW98" t="s">
        <v>765</v>
      </c>
      <c r="AX98" t="s">
        <v>523</v>
      </c>
      <c r="AY98">
        <v>81200</v>
      </c>
      <c r="BA98">
        <v>76000</v>
      </c>
      <c r="BD98" t="s">
        <v>87</v>
      </c>
      <c r="BE98">
        <v>1.43</v>
      </c>
      <c r="BF98">
        <v>2.19</v>
      </c>
      <c r="BG98" s="36">
        <v>-0.76</v>
      </c>
      <c r="BH98">
        <v>-54</v>
      </c>
      <c r="BP98">
        <v>8000</v>
      </c>
      <c r="BQ98">
        <v>25</v>
      </c>
      <c r="BR98" s="36">
        <v>3.2</v>
      </c>
      <c r="BU98">
        <v>0.7</v>
      </c>
      <c r="BX98" t="s">
        <v>686</v>
      </c>
      <c r="BY98" t="s">
        <v>96</v>
      </c>
      <c r="CC98">
        <v>264</v>
      </c>
      <c r="CH98" t="s">
        <v>104</v>
      </c>
      <c r="CI98" t="s">
        <v>309</v>
      </c>
      <c r="CK98" t="s">
        <v>794</v>
      </c>
      <c r="CQ98" t="s">
        <v>803</v>
      </c>
      <c r="CY98" s="24" t="s">
        <v>802</v>
      </c>
    </row>
    <row r="99" spans="1:103" x14ac:dyDescent="0.35">
      <c r="A99">
        <v>143</v>
      </c>
      <c r="B99" s="1">
        <v>74</v>
      </c>
      <c r="C99" t="s">
        <v>157</v>
      </c>
      <c r="D99">
        <v>1995</v>
      </c>
      <c r="E99" t="s">
        <v>735</v>
      </c>
      <c r="G99">
        <v>1990</v>
      </c>
      <c r="H99">
        <v>1</v>
      </c>
      <c r="I99" t="s">
        <v>200</v>
      </c>
      <c r="Q99" s="28"/>
      <c r="R99" t="s">
        <v>663</v>
      </c>
      <c r="S99" s="24" t="s">
        <v>392</v>
      </c>
      <c r="T99" t="s">
        <v>338</v>
      </c>
      <c r="V99" t="s">
        <v>112</v>
      </c>
      <c r="W99">
        <v>1990</v>
      </c>
      <c r="Y99" t="s">
        <v>87</v>
      </c>
      <c r="Z99" s="22">
        <v>0.111</v>
      </c>
      <c r="AA99">
        <v>3.7999999999999999E-2</v>
      </c>
      <c r="AB99" s="36">
        <v>65.77</v>
      </c>
      <c r="AC99" t="s">
        <v>277</v>
      </c>
      <c r="AJ99">
        <v>0.04</v>
      </c>
      <c r="AK99" s="22">
        <v>5.0000000000000001E-3</v>
      </c>
      <c r="AL99" s="36">
        <v>87.5</v>
      </c>
      <c r="AQ99" t="s">
        <v>87</v>
      </c>
      <c r="AR99" t="s">
        <v>87</v>
      </c>
      <c r="AS99" t="s">
        <v>87</v>
      </c>
      <c r="AW99">
        <v>1990</v>
      </c>
      <c r="BD99" t="s">
        <v>87</v>
      </c>
      <c r="BE99">
        <v>2.29</v>
      </c>
      <c r="BG99">
        <v>1.4</v>
      </c>
      <c r="BH99">
        <v>63</v>
      </c>
      <c r="BP99">
        <v>23300</v>
      </c>
      <c r="BQ99">
        <v>165</v>
      </c>
      <c r="BX99" t="s">
        <v>665</v>
      </c>
      <c r="BY99" t="s">
        <v>96</v>
      </c>
      <c r="BZ99" t="s">
        <v>285</v>
      </c>
      <c r="CV99" t="s">
        <v>261</v>
      </c>
      <c r="CY99" s="24" t="s">
        <v>797</v>
      </c>
    </row>
    <row r="100" spans="1:103" x14ac:dyDescent="0.35">
      <c r="A100">
        <v>144</v>
      </c>
      <c r="B100" s="1">
        <v>74</v>
      </c>
      <c r="C100" t="s">
        <v>157</v>
      </c>
      <c r="D100">
        <v>1995</v>
      </c>
      <c r="E100" t="s">
        <v>735</v>
      </c>
      <c r="G100">
        <v>1991</v>
      </c>
      <c r="H100">
        <v>1</v>
      </c>
      <c r="I100" t="s">
        <v>200</v>
      </c>
      <c r="Q100" s="28"/>
      <c r="R100" t="s">
        <v>663</v>
      </c>
      <c r="S100" s="24" t="s">
        <v>392</v>
      </c>
      <c r="T100" t="s">
        <v>338</v>
      </c>
      <c r="V100" t="s">
        <v>112</v>
      </c>
      <c r="W100">
        <v>1991</v>
      </c>
      <c r="Y100" t="s">
        <v>87</v>
      </c>
      <c r="Z100" s="22">
        <v>0.13200000000000001</v>
      </c>
      <c r="AA100">
        <v>2.7E-2</v>
      </c>
      <c r="AB100" s="36">
        <v>79.55</v>
      </c>
      <c r="AC100" t="s">
        <v>277</v>
      </c>
      <c r="AJ100">
        <v>6.2E-2</v>
      </c>
      <c r="AK100" s="22">
        <v>1.6E-2</v>
      </c>
      <c r="AL100" s="36">
        <v>74.19</v>
      </c>
      <c r="AQ100" t="s">
        <v>87</v>
      </c>
      <c r="AR100" t="s">
        <v>87</v>
      </c>
      <c r="AS100" t="s">
        <v>87</v>
      </c>
      <c r="AW100">
        <v>1991</v>
      </c>
      <c r="BD100" t="s">
        <v>87</v>
      </c>
      <c r="BE100">
        <v>3.05</v>
      </c>
      <c r="BG100">
        <v>2.62</v>
      </c>
      <c r="BH100">
        <v>86</v>
      </c>
      <c r="BP100">
        <v>23300</v>
      </c>
      <c r="BQ100">
        <v>177</v>
      </c>
      <c r="BX100" t="s">
        <v>665</v>
      </c>
      <c r="BY100" t="s">
        <v>96</v>
      </c>
      <c r="BZ100" t="s">
        <v>285</v>
      </c>
      <c r="CV100" t="s">
        <v>261</v>
      </c>
      <c r="CY100" s="24" t="s">
        <v>797</v>
      </c>
    </row>
    <row r="101" spans="1:103" x14ac:dyDescent="0.35">
      <c r="A101">
        <v>145</v>
      </c>
      <c r="B101" s="1">
        <v>74</v>
      </c>
      <c r="C101" t="s">
        <v>157</v>
      </c>
      <c r="D101">
        <v>1995</v>
      </c>
      <c r="E101" t="s">
        <v>735</v>
      </c>
      <c r="G101">
        <v>1992</v>
      </c>
      <c r="H101">
        <v>1</v>
      </c>
      <c r="I101" t="s">
        <v>200</v>
      </c>
      <c r="Q101" s="28"/>
      <c r="R101" t="s">
        <v>663</v>
      </c>
      <c r="S101" s="24" t="s">
        <v>392</v>
      </c>
      <c r="T101" t="s">
        <v>338</v>
      </c>
      <c r="V101" t="s">
        <v>112</v>
      </c>
      <c r="W101">
        <v>1992</v>
      </c>
      <c r="Y101" t="s">
        <v>87</v>
      </c>
      <c r="Z101" s="22">
        <v>0.122</v>
      </c>
      <c r="AA101" s="22">
        <v>5.7000000000000002E-2</v>
      </c>
      <c r="AB101" s="36">
        <v>53.28</v>
      </c>
      <c r="AC101" t="s">
        <v>277</v>
      </c>
      <c r="AJ101">
        <v>5.3999999999999999E-2</v>
      </c>
      <c r="AK101">
        <v>1.4E-2</v>
      </c>
      <c r="AL101" s="36">
        <v>74.069999999999993</v>
      </c>
      <c r="AQ101" t="s">
        <v>87</v>
      </c>
      <c r="AR101" t="s">
        <v>87</v>
      </c>
      <c r="AS101" t="s">
        <v>87</v>
      </c>
      <c r="AW101">
        <v>1992</v>
      </c>
      <c r="BD101" t="s">
        <v>87</v>
      </c>
      <c r="BE101">
        <v>4.01</v>
      </c>
      <c r="BG101">
        <v>2.12</v>
      </c>
      <c r="BH101">
        <v>53</v>
      </c>
      <c r="BP101">
        <v>23300</v>
      </c>
      <c r="BQ101">
        <v>424</v>
      </c>
      <c r="BX101" t="s">
        <v>665</v>
      </c>
      <c r="BY101" t="s">
        <v>96</v>
      </c>
      <c r="BZ101" t="s">
        <v>285</v>
      </c>
      <c r="CV101" t="s">
        <v>261</v>
      </c>
      <c r="CY101" s="24" t="s">
        <v>797</v>
      </c>
    </row>
    <row r="102" spans="1:103" x14ac:dyDescent="0.35">
      <c r="A102">
        <v>146</v>
      </c>
      <c r="B102" s="1">
        <v>74</v>
      </c>
      <c r="C102" t="s">
        <v>157</v>
      </c>
      <c r="D102">
        <v>1995</v>
      </c>
      <c r="E102" t="s">
        <v>736</v>
      </c>
      <c r="G102">
        <v>1990</v>
      </c>
      <c r="H102">
        <v>1</v>
      </c>
      <c r="I102" t="s">
        <v>200</v>
      </c>
      <c r="Q102" s="28"/>
      <c r="R102" t="s">
        <v>663</v>
      </c>
      <c r="S102" s="24" t="s">
        <v>392</v>
      </c>
      <c r="T102" t="s">
        <v>338</v>
      </c>
      <c r="V102" t="s">
        <v>112</v>
      </c>
      <c r="W102">
        <v>1990</v>
      </c>
      <c r="Y102" t="s">
        <v>87</v>
      </c>
      <c r="Z102" s="22">
        <v>0.111</v>
      </c>
      <c r="AA102" s="22">
        <v>0.04</v>
      </c>
      <c r="AB102" s="36">
        <v>63.96</v>
      </c>
      <c r="AC102" t="s">
        <v>277</v>
      </c>
      <c r="AJ102">
        <v>0.04</v>
      </c>
      <c r="AK102">
        <v>4.0000000000000001E-3</v>
      </c>
      <c r="AL102" s="36">
        <v>90</v>
      </c>
      <c r="AQ102" t="s">
        <v>87</v>
      </c>
      <c r="AR102" t="s">
        <v>87</v>
      </c>
      <c r="AS102" t="s">
        <v>87</v>
      </c>
      <c r="AW102">
        <v>1990</v>
      </c>
      <c r="BD102" t="s">
        <v>87</v>
      </c>
      <c r="BE102">
        <v>0.55000000000000004</v>
      </c>
      <c r="BG102">
        <v>0.44</v>
      </c>
      <c r="BH102">
        <v>81</v>
      </c>
      <c r="BP102">
        <v>23400</v>
      </c>
      <c r="BQ102">
        <v>43</v>
      </c>
      <c r="BX102" t="s">
        <v>665</v>
      </c>
      <c r="BY102" t="s">
        <v>96</v>
      </c>
      <c r="BZ102" t="s">
        <v>285</v>
      </c>
      <c r="CV102" t="s">
        <v>261</v>
      </c>
      <c r="CY102" s="24" t="s">
        <v>797</v>
      </c>
    </row>
    <row r="103" spans="1:103" x14ac:dyDescent="0.35">
      <c r="A103">
        <v>147</v>
      </c>
      <c r="B103" s="1">
        <v>74</v>
      </c>
      <c r="C103" t="s">
        <v>157</v>
      </c>
      <c r="D103">
        <v>1995</v>
      </c>
      <c r="E103" t="s">
        <v>736</v>
      </c>
      <c r="G103">
        <v>1991</v>
      </c>
      <c r="H103">
        <v>1</v>
      </c>
      <c r="I103" t="s">
        <v>200</v>
      </c>
      <c r="Q103" s="28"/>
      <c r="R103" t="s">
        <v>663</v>
      </c>
      <c r="S103" s="24" t="s">
        <v>392</v>
      </c>
      <c r="T103" t="s">
        <v>338</v>
      </c>
      <c r="V103" t="s">
        <v>112</v>
      </c>
      <c r="W103">
        <v>1991</v>
      </c>
      <c r="Y103" t="s">
        <v>87</v>
      </c>
      <c r="Z103" s="22">
        <v>0.13200000000000001</v>
      </c>
      <c r="AA103" s="22">
        <v>1.0999999999999999E-2</v>
      </c>
      <c r="AB103" s="36">
        <v>91.67</v>
      </c>
      <c r="AC103" t="s">
        <v>277</v>
      </c>
      <c r="AJ103">
        <v>6.2E-2</v>
      </c>
      <c r="AK103">
        <v>8.0000000000000002E-3</v>
      </c>
      <c r="AL103" s="36">
        <v>87.1</v>
      </c>
      <c r="AQ103" t="s">
        <v>87</v>
      </c>
      <c r="AR103" t="s">
        <v>87</v>
      </c>
      <c r="AS103" t="s">
        <v>87</v>
      </c>
      <c r="AW103">
        <v>1991</v>
      </c>
      <c r="BD103" t="s">
        <v>87</v>
      </c>
      <c r="BE103">
        <v>0.51</v>
      </c>
      <c r="BG103">
        <v>0.5</v>
      </c>
      <c r="BH103">
        <v>98</v>
      </c>
      <c r="BP103">
        <v>23400</v>
      </c>
      <c r="BQ103">
        <v>34</v>
      </c>
      <c r="BX103" t="s">
        <v>665</v>
      </c>
      <c r="BY103" t="s">
        <v>96</v>
      </c>
      <c r="BZ103" t="s">
        <v>285</v>
      </c>
      <c r="CV103" t="s">
        <v>261</v>
      </c>
      <c r="CY103" s="24" t="s">
        <v>797</v>
      </c>
    </row>
    <row r="104" spans="1:103" x14ac:dyDescent="0.35">
      <c r="A104">
        <v>148</v>
      </c>
      <c r="B104" s="1">
        <v>74</v>
      </c>
      <c r="C104" t="s">
        <v>157</v>
      </c>
      <c r="D104">
        <v>1995</v>
      </c>
      <c r="E104" t="s">
        <v>736</v>
      </c>
      <c r="G104">
        <v>1992</v>
      </c>
      <c r="H104">
        <v>1</v>
      </c>
      <c r="I104" t="s">
        <v>200</v>
      </c>
      <c r="Q104" s="28"/>
      <c r="R104" t="s">
        <v>663</v>
      </c>
      <c r="S104" s="24" t="s">
        <v>392</v>
      </c>
      <c r="T104" t="s">
        <v>338</v>
      </c>
      <c r="V104" t="s">
        <v>112</v>
      </c>
      <c r="W104">
        <v>1992</v>
      </c>
      <c r="Y104" t="s">
        <v>87</v>
      </c>
      <c r="Z104" s="22">
        <v>0.122</v>
      </c>
      <c r="AA104" s="22">
        <v>1.6E-2</v>
      </c>
      <c r="AB104" s="36">
        <v>86.89</v>
      </c>
      <c r="AC104" t="s">
        <v>277</v>
      </c>
      <c r="AJ104">
        <v>5.3999999999999999E-2</v>
      </c>
      <c r="AK104">
        <v>1.0999999999999999E-2</v>
      </c>
      <c r="AL104" s="36">
        <v>79.63</v>
      </c>
      <c r="AQ104" t="s">
        <v>87</v>
      </c>
      <c r="AR104" t="s">
        <v>87</v>
      </c>
      <c r="AS104" t="s">
        <v>87</v>
      </c>
      <c r="AW104">
        <v>1992</v>
      </c>
      <c r="BD104" t="s">
        <v>87</v>
      </c>
      <c r="BE104">
        <v>0.46</v>
      </c>
      <c r="BG104">
        <v>0.41</v>
      </c>
      <c r="BH104">
        <v>87</v>
      </c>
      <c r="BP104">
        <v>23400</v>
      </c>
      <c r="BQ104">
        <v>60</v>
      </c>
      <c r="BX104" t="s">
        <v>665</v>
      </c>
      <c r="BY104" t="s">
        <v>96</v>
      </c>
      <c r="BZ104" t="s">
        <v>285</v>
      </c>
      <c r="CV104" t="s">
        <v>261</v>
      </c>
      <c r="CY104" s="24" t="s">
        <v>797</v>
      </c>
    </row>
    <row r="105" spans="1:103" x14ac:dyDescent="0.35">
      <c r="A105">
        <v>149</v>
      </c>
      <c r="B105" s="1">
        <v>74</v>
      </c>
      <c r="C105" t="s">
        <v>157</v>
      </c>
      <c r="D105">
        <v>1995</v>
      </c>
      <c r="E105" t="s">
        <v>737</v>
      </c>
      <c r="G105">
        <v>1992</v>
      </c>
      <c r="H105">
        <v>1</v>
      </c>
      <c r="I105" t="s">
        <v>200</v>
      </c>
      <c r="Q105" s="28"/>
      <c r="R105" t="s">
        <v>663</v>
      </c>
      <c r="S105" s="24" t="s">
        <v>392</v>
      </c>
      <c r="T105" t="s">
        <v>235</v>
      </c>
      <c r="V105" t="s">
        <v>664</v>
      </c>
      <c r="W105">
        <v>1992</v>
      </c>
      <c r="Y105" t="s">
        <v>87</v>
      </c>
      <c r="Z105" s="22">
        <v>0.17599999999999999</v>
      </c>
      <c r="AA105" s="22">
        <v>3.4000000000000002E-2</v>
      </c>
      <c r="AB105" s="36">
        <v>80.680000000000007</v>
      </c>
      <c r="AC105" t="s">
        <v>277</v>
      </c>
      <c r="AL105" s="36"/>
      <c r="AQ105" t="s">
        <v>87</v>
      </c>
      <c r="AR105" t="s">
        <v>87</v>
      </c>
      <c r="AS105" t="s">
        <v>87</v>
      </c>
      <c r="AW105">
        <v>1992</v>
      </c>
      <c r="BD105" t="s">
        <v>87</v>
      </c>
      <c r="BE105">
        <v>0.64</v>
      </c>
      <c r="BG105">
        <v>0.56000000000000005</v>
      </c>
      <c r="BH105">
        <v>87</v>
      </c>
      <c r="BP105">
        <v>23400</v>
      </c>
      <c r="BQ105">
        <v>60</v>
      </c>
      <c r="BX105" t="s">
        <v>617</v>
      </c>
      <c r="BY105" t="s">
        <v>96</v>
      </c>
      <c r="CV105" t="s">
        <v>261</v>
      </c>
      <c r="CY105" s="24" t="s">
        <v>797</v>
      </c>
    </row>
    <row r="106" spans="1:103" x14ac:dyDescent="0.35">
      <c r="A106">
        <v>150</v>
      </c>
      <c r="B106" s="1">
        <v>74</v>
      </c>
      <c r="C106" t="s">
        <v>157</v>
      </c>
      <c r="D106">
        <v>1995</v>
      </c>
      <c r="E106" t="s">
        <v>738</v>
      </c>
      <c r="G106">
        <v>1990</v>
      </c>
      <c r="H106">
        <v>1</v>
      </c>
      <c r="I106" t="s">
        <v>200</v>
      </c>
      <c r="Q106" s="28"/>
      <c r="R106" t="s">
        <v>663</v>
      </c>
      <c r="S106" s="24" t="s">
        <v>392</v>
      </c>
      <c r="T106" t="s">
        <v>338</v>
      </c>
      <c r="V106" t="s">
        <v>112</v>
      </c>
      <c r="W106">
        <v>1990</v>
      </c>
      <c r="Y106" t="s">
        <v>87</v>
      </c>
      <c r="Z106" s="22">
        <v>0.111</v>
      </c>
      <c r="AA106" s="22">
        <v>4.2000000000000003E-2</v>
      </c>
      <c r="AB106" s="36">
        <v>62.16</v>
      </c>
      <c r="AC106" t="s">
        <v>277</v>
      </c>
      <c r="AJ106">
        <v>0.04</v>
      </c>
      <c r="AK106">
        <v>3.0000000000000001E-3</v>
      </c>
      <c r="AL106" s="36">
        <v>92.5</v>
      </c>
      <c r="AQ106" t="s">
        <v>87</v>
      </c>
      <c r="AR106" t="s">
        <v>87</v>
      </c>
      <c r="AS106" t="s">
        <v>87</v>
      </c>
      <c r="AW106">
        <v>1990</v>
      </c>
      <c r="BD106" t="s">
        <v>87</v>
      </c>
      <c r="BE106">
        <v>2.1800000000000002</v>
      </c>
      <c r="BG106">
        <v>1.37</v>
      </c>
      <c r="BH106">
        <v>63</v>
      </c>
      <c r="BP106">
        <v>18700</v>
      </c>
      <c r="BQ106">
        <v>123</v>
      </c>
      <c r="BX106" t="s">
        <v>617</v>
      </c>
      <c r="BY106" t="s">
        <v>96</v>
      </c>
      <c r="CV106" t="s">
        <v>261</v>
      </c>
      <c r="CY106" s="24" t="s">
        <v>797</v>
      </c>
    </row>
    <row r="107" spans="1:103" x14ac:dyDescent="0.35">
      <c r="A107">
        <v>151</v>
      </c>
      <c r="B107" s="1">
        <v>74</v>
      </c>
      <c r="C107" t="s">
        <v>157</v>
      </c>
      <c r="D107">
        <v>1995</v>
      </c>
      <c r="E107" t="s">
        <v>738</v>
      </c>
      <c r="G107">
        <v>1991</v>
      </c>
      <c r="H107">
        <v>1</v>
      </c>
      <c r="I107" t="s">
        <v>200</v>
      </c>
      <c r="Q107" s="28"/>
      <c r="R107" t="s">
        <v>663</v>
      </c>
      <c r="S107" s="24" t="s">
        <v>392</v>
      </c>
      <c r="T107" t="s">
        <v>338</v>
      </c>
      <c r="V107" t="s">
        <v>112</v>
      </c>
      <c r="W107">
        <v>1991</v>
      </c>
      <c r="Y107" t="s">
        <v>87</v>
      </c>
      <c r="Z107" s="22">
        <v>0.13200000000000001</v>
      </c>
      <c r="AA107" s="22">
        <v>1.2999999999999999E-2</v>
      </c>
      <c r="AB107" s="36">
        <v>90.15</v>
      </c>
      <c r="AC107" t="s">
        <v>277</v>
      </c>
      <c r="AJ107">
        <v>6.2E-2</v>
      </c>
      <c r="AK107">
        <v>1.4999999999999999E-2</v>
      </c>
      <c r="AL107" s="36">
        <v>75.81</v>
      </c>
      <c r="AQ107" t="s">
        <v>87</v>
      </c>
      <c r="AR107" t="s">
        <v>87</v>
      </c>
      <c r="AS107" t="s">
        <v>87</v>
      </c>
      <c r="AW107">
        <v>1991</v>
      </c>
      <c r="BD107" t="s">
        <v>87</v>
      </c>
      <c r="BE107">
        <v>2.98</v>
      </c>
      <c r="BG107">
        <v>2.86</v>
      </c>
      <c r="BH107">
        <v>96</v>
      </c>
      <c r="BP107">
        <v>18700</v>
      </c>
      <c r="BQ107">
        <v>141</v>
      </c>
      <c r="BX107" t="s">
        <v>617</v>
      </c>
      <c r="BY107" t="s">
        <v>96</v>
      </c>
      <c r="CV107" t="s">
        <v>261</v>
      </c>
      <c r="CY107" s="24" t="s">
        <v>797</v>
      </c>
    </row>
    <row r="108" spans="1:103" x14ac:dyDescent="0.35">
      <c r="A108">
        <v>152</v>
      </c>
      <c r="B108" s="1">
        <v>74</v>
      </c>
      <c r="C108" t="s">
        <v>157</v>
      </c>
      <c r="D108">
        <v>1995</v>
      </c>
      <c r="E108" t="s">
        <v>738</v>
      </c>
      <c r="G108">
        <v>1992</v>
      </c>
      <c r="H108">
        <v>1</v>
      </c>
      <c r="I108" t="s">
        <v>200</v>
      </c>
      <c r="Q108" s="28"/>
      <c r="R108" t="s">
        <v>663</v>
      </c>
      <c r="S108" s="24" t="s">
        <v>392</v>
      </c>
      <c r="T108" t="s">
        <v>338</v>
      </c>
      <c r="V108" t="s">
        <v>112</v>
      </c>
      <c r="W108">
        <v>1992</v>
      </c>
      <c r="Y108" t="s">
        <v>87</v>
      </c>
      <c r="Z108" s="22">
        <v>0.122</v>
      </c>
      <c r="AA108" s="22">
        <v>2.7E-2</v>
      </c>
      <c r="AB108" s="36">
        <v>77.87</v>
      </c>
      <c r="AC108" t="s">
        <v>277</v>
      </c>
      <c r="AJ108">
        <v>5.3999999999999999E-2</v>
      </c>
      <c r="AK108">
        <v>1.4999999999999999E-2</v>
      </c>
      <c r="AL108" s="36">
        <v>72.22</v>
      </c>
      <c r="AQ108" t="s">
        <v>87</v>
      </c>
      <c r="AR108" t="s">
        <v>87</v>
      </c>
      <c r="AS108" t="s">
        <v>87</v>
      </c>
      <c r="AW108">
        <v>1992</v>
      </c>
      <c r="BD108" t="s">
        <v>87</v>
      </c>
      <c r="BE108">
        <v>1.84</v>
      </c>
      <c r="BG108">
        <v>1.43</v>
      </c>
      <c r="BH108">
        <v>78</v>
      </c>
      <c r="BP108">
        <v>18700</v>
      </c>
      <c r="BQ108">
        <v>120</v>
      </c>
      <c r="BX108" t="s">
        <v>617</v>
      </c>
      <c r="BY108" t="s">
        <v>96</v>
      </c>
      <c r="CV108" t="s">
        <v>261</v>
      </c>
      <c r="CY108" s="24" t="s">
        <v>797</v>
      </c>
    </row>
    <row r="109" spans="1:103" x14ac:dyDescent="0.35">
      <c r="A109">
        <v>153</v>
      </c>
      <c r="B109" s="1">
        <v>74</v>
      </c>
      <c r="C109" t="s">
        <v>157</v>
      </c>
      <c r="D109">
        <v>1995</v>
      </c>
      <c r="E109" t="s">
        <v>739</v>
      </c>
      <c r="G109">
        <v>1992</v>
      </c>
      <c r="H109">
        <v>1</v>
      </c>
      <c r="I109" t="s">
        <v>200</v>
      </c>
      <c r="Q109" s="28"/>
      <c r="R109" t="s">
        <v>663</v>
      </c>
      <c r="S109" s="24" t="s">
        <v>392</v>
      </c>
      <c r="T109" t="s">
        <v>235</v>
      </c>
      <c r="V109" t="s">
        <v>664</v>
      </c>
      <c r="W109">
        <v>1992</v>
      </c>
      <c r="Y109" t="s">
        <v>87</v>
      </c>
      <c r="Z109" s="22">
        <v>0.17599999999999999</v>
      </c>
      <c r="AA109" s="22">
        <v>4.4999999999999998E-2</v>
      </c>
      <c r="AB109" s="36">
        <v>74.430000000000007</v>
      </c>
      <c r="AC109" t="s">
        <v>277</v>
      </c>
      <c r="AL109" s="36"/>
      <c r="AQ109" t="s">
        <v>87</v>
      </c>
      <c r="AR109" t="s">
        <v>87</v>
      </c>
      <c r="AS109" t="s">
        <v>87</v>
      </c>
      <c r="AW109">
        <v>1992</v>
      </c>
      <c r="BD109" t="s">
        <v>87</v>
      </c>
      <c r="BE109">
        <v>1.68</v>
      </c>
      <c r="BG109">
        <v>1.4</v>
      </c>
      <c r="BH109">
        <v>83</v>
      </c>
      <c r="BP109">
        <v>18700</v>
      </c>
      <c r="BQ109">
        <v>120</v>
      </c>
      <c r="BX109" t="s">
        <v>617</v>
      </c>
      <c r="BY109" t="s">
        <v>96</v>
      </c>
      <c r="CV109" t="s">
        <v>261</v>
      </c>
      <c r="CY109" s="24" t="s">
        <v>797</v>
      </c>
    </row>
    <row r="110" spans="1:103" x14ac:dyDescent="0.35">
      <c r="A110">
        <v>154</v>
      </c>
      <c r="B110" s="1">
        <v>74</v>
      </c>
      <c r="C110" t="s">
        <v>157</v>
      </c>
      <c r="D110">
        <v>1995</v>
      </c>
      <c r="E110" t="s">
        <v>740</v>
      </c>
      <c r="G110">
        <v>1990</v>
      </c>
      <c r="H110">
        <v>1</v>
      </c>
      <c r="I110" t="s">
        <v>200</v>
      </c>
      <c r="Q110" s="28"/>
      <c r="R110" t="s">
        <v>663</v>
      </c>
      <c r="S110" s="24" t="s">
        <v>392</v>
      </c>
      <c r="T110" t="s">
        <v>338</v>
      </c>
      <c r="V110" t="s">
        <v>112</v>
      </c>
      <c r="W110">
        <v>1990</v>
      </c>
      <c r="Y110" t="s">
        <v>87</v>
      </c>
      <c r="Z110" s="22">
        <v>0.111</v>
      </c>
      <c r="AA110" s="22">
        <v>2.5000000000000001E-2</v>
      </c>
      <c r="AB110" s="36">
        <v>77.48</v>
      </c>
      <c r="AC110" t="s">
        <v>277</v>
      </c>
      <c r="AJ110">
        <v>0.04</v>
      </c>
      <c r="AK110">
        <v>3.0000000000000001E-3</v>
      </c>
      <c r="AL110" s="36">
        <v>92.5</v>
      </c>
      <c r="AQ110" t="s">
        <v>87</v>
      </c>
      <c r="AR110" t="s">
        <v>87</v>
      </c>
      <c r="AS110" t="s">
        <v>87</v>
      </c>
      <c r="AW110">
        <v>1990</v>
      </c>
      <c r="BD110" t="s">
        <v>87</v>
      </c>
      <c r="BE110">
        <v>0.71</v>
      </c>
      <c r="BG110">
        <v>0.71</v>
      </c>
      <c r="BH110">
        <v>99</v>
      </c>
      <c r="BP110">
        <v>34500</v>
      </c>
      <c r="BQ110">
        <v>104</v>
      </c>
      <c r="BX110" t="s">
        <v>617</v>
      </c>
      <c r="BY110" t="s">
        <v>96</v>
      </c>
      <c r="CV110" t="s">
        <v>261</v>
      </c>
      <c r="CY110" s="24" t="s">
        <v>797</v>
      </c>
    </row>
    <row r="111" spans="1:103" x14ac:dyDescent="0.35">
      <c r="A111">
        <v>155</v>
      </c>
      <c r="B111" s="1">
        <v>74</v>
      </c>
      <c r="C111" t="s">
        <v>157</v>
      </c>
      <c r="D111">
        <v>1995</v>
      </c>
      <c r="E111" t="s">
        <v>740</v>
      </c>
      <c r="G111">
        <v>1991</v>
      </c>
      <c r="H111">
        <v>1</v>
      </c>
      <c r="I111" t="s">
        <v>200</v>
      </c>
      <c r="Q111" s="28"/>
      <c r="R111" t="s">
        <v>663</v>
      </c>
      <c r="S111" s="24" t="s">
        <v>392</v>
      </c>
      <c r="T111" t="s">
        <v>338</v>
      </c>
      <c r="V111" t="s">
        <v>112</v>
      </c>
      <c r="W111">
        <v>1991</v>
      </c>
      <c r="Y111" t="s">
        <v>87</v>
      </c>
      <c r="Z111" s="22">
        <v>0.13200000000000001</v>
      </c>
      <c r="AA111" s="22">
        <v>1.2E-2</v>
      </c>
      <c r="AB111" s="36">
        <v>90.91</v>
      </c>
      <c r="AC111" t="s">
        <v>277</v>
      </c>
      <c r="AJ111">
        <v>6.2E-2</v>
      </c>
      <c r="AK111">
        <v>8.9999999999999993E-3</v>
      </c>
      <c r="AL111" s="36">
        <v>85.48</v>
      </c>
      <c r="AQ111" t="s">
        <v>87</v>
      </c>
      <c r="AR111" t="s">
        <v>87</v>
      </c>
      <c r="AS111" t="s">
        <v>87</v>
      </c>
      <c r="AW111">
        <v>1991</v>
      </c>
      <c r="BD111" t="s">
        <v>87</v>
      </c>
      <c r="BE111">
        <v>0.59</v>
      </c>
      <c r="BG111">
        <v>0.57999999999999996</v>
      </c>
      <c r="BH111">
        <v>99</v>
      </c>
      <c r="BP111">
        <v>34500</v>
      </c>
      <c r="BQ111">
        <v>63</v>
      </c>
      <c r="BX111" t="s">
        <v>617</v>
      </c>
      <c r="BY111" t="s">
        <v>96</v>
      </c>
      <c r="CV111" t="s">
        <v>261</v>
      </c>
      <c r="CY111" s="24" t="s">
        <v>797</v>
      </c>
    </row>
    <row r="112" spans="1:103" x14ac:dyDescent="0.35">
      <c r="A112">
        <v>156</v>
      </c>
      <c r="B112" s="1">
        <v>74</v>
      </c>
      <c r="C112" t="s">
        <v>157</v>
      </c>
      <c r="D112">
        <v>1995</v>
      </c>
      <c r="E112" t="s">
        <v>740</v>
      </c>
      <c r="G112">
        <v>1992</v>
      </c>
      <c r="H112">
        <v>1</v>
      </c>
      <c r="I112" t="s">
        <v>200</v>
      </c>
      <c r="R112" t="s">
        <v>663</v>
      </c>
      <c r="S112" s="24" t="s">
        <v>392</v>
      </c>
      <c r="T112" t="s">
        <v>338</v>
      </c>
      <c r="V112" t="s">
        <v>112</v>
      </c>
      <c r="W112">
        <v>1992</v>
      </c>
      <c r="Y112" t="s">
        <v>87</v>
      </c>
      <c r="Z112" s="22">
        <v>0.122</v>
      </c>
      <c r="AA112" s="22">
        <v>2.7E-2</v>
      </c>
      <c r="AB112" s="36">
        <v>77.87</v>
      </c>
      <c r="AC112" t="s">
        <v>277</v>
      </c>
      <c r="AJ112">
        <v>5.3999999999999999E-2</v>
      </c>
      <c r="AK112">
        <v>1.2E-2</v>
      </c>
      <c r="AL112" s="36">
        <v>77.78</v>
      </c>
      <c r="AQ112" t="s">
        <v>87</v>
      </c>
      <c r="AR112" t="s">
        <v>87</v>
      </c>
      <c r="AS112" t="s">
        <v>87</v>
      </c>
      <c r="AW112">
        <v>1992</v>
      </c>
      <c r="BD112" t="s">
        <v>87</v>
      </c>
      <c r="BE112">
        <v>2.08</v>
      </c>
      <c r="BG112">
        <v>1.73</v>
      </c>
      <c r="BH112">
        <v>83</v>
      </c>
      <c r="BP112">
        <v>34500</v>
      </c>
      <c r="BX112" t="s">
        <v>617</v>
      </c>
      <c r="BY112" t="s">
        <v>96</v>
      </c>
      <c r="CV112" t="s">
        <v>261</v>
      </c>
      <c r="CY112" s="24" t="s">
        <v>797</v>
      </c>
    </row>
    <row r="113" spans="1:103" x14ac:dyDescent="0.35">
      <c r="A113">
        <v>158</v>
      </c>
      <c r="B113" s="1">
        <v>75</v>
      </c>
      <c r="C113" t="s">
        <v>122</v>
      </c>
      <c r="D113">
        <v>1996</v>
      </c>
      <c r="E113" t="s">
        <v>474</v>
      </c>
      <c r="G113" t="s">
        <v>411</v>
      </c>
      <c r="I113" t="s">
        <v>69</v>
      </c>
      <c r="N113">
        <v>1220</v>
      </c>
      <c r="O113" t="s">
        <v>310</v>
      </c>
      <c r="R113" t="s">
        <v>761</v>
      </c>
      <c r="V113" t="s">
        <v>112</v>
      </c>
      <c r="W113" s="30" t="s">
        <v>411</v>
      </c>
      <c r="Y113" t="s">
        <v>87</v>
      </c>
      <c r="Z113" s="22">
        <v>5.6000000000000001E-2</v>
      </c>
      <c r="AA113" s="22">
        <v>0.02</v>
      </c>
      <c r="AB113">
        <v>62</v>
      </c>
      <c r="AC113" t="s">
        <v>277</v>
      </c>
      <c r="AD113">
        <v>0.03</v>
      </c>
      <c r="AE113">
        <v>0.15</v>
      </c>
      <c r="AG113">
        <v>0.01</v>
      </c>
      <c r="AH113">
        <v>0.14000000000000001</v>
      </c>
      <c r="AQ113" t="s">
        <v>88</v>
      </c>
      <c r="AR113" t="s">
        <v>87</v>
      </c>
      <c r="AS113" t="s">
        <v>87</v>
      </c>
      <c r="AV113" t="s">
        <v>378</v>
      </c>
      <c r="AW113" s="30" t="s">
        <v>411</v>
      </c>
      <c r="BE113" s="23">
        <v>0.504</v>
      </c>
      <c r="BF113">
        <v>0.13200000000000001</v>
      </c>
      <c r="BG113" s="36">
        <v>0.372</v>
      </c>
      <c r="BH113">
        <v>71</v>
      </c>
      <c r="BI113">
        <v>9.93</v>
      </c>
      <c r="BP113">
        <v>490000</v>
      </c>
      <c r="BU113">
        <v>0.38</v>
      </c>
      <c r="BX113" t="s">
        <v>630</v>
      </c>
      <c r="BY113" t="s">
        <v>96</v>
      </c>
      <c r="CC113">
        <v>432</v>
      </c>
      <c r="CE113">
        <v>3.48</v>
      </c>
      <c r="CQ113" t="s">
        <v>857</v>
      </c>
      <c r="CV113" t="s">
        <v>261</v>
      </c>
      <c r="CY113" s="24" t="s">
        <v>714</v>
      </c>
    </row>
    <row r="114" spans="1:103" x14ac:dyDescent="0.35">
      <c r="A114">
        <v>162</v>
      </c>
      <c r="B114" s="1">
        <v>76</v>
      </c>
      <c r="C114" t="s">
        <v>444</v>
      </c>
      <c r="D114">
        <v>1996</v>
      </c>
      <c r="E114" s="24" t="s">
        <v>322</v>
      </c>
      <c r="G114" t="s">
        <v>326</v>
      </c>
      <c r="H114">
        <v>2</v>
      </c>
      <c r="I114" t="s">
        <v>198</v>
      </c>
      <c r="J114">
        <v>40.021000000000001</v>
      </c>
      <c r="K114">
        <v>-83.016999999999996</v>
      </c>
      <c r="Q114">
        <v>1</v>
      </c>
      <c r="R114" t="s">
        <v>681</v>
      </c>
      <c r="T114" t="s">
        <v>338</v>
      </c>
      <c r="V114" t="s">
        <v>112</v>
      </c>
      <c r="W114" s="30" t="s">
        <v>326</v>
      </c>
      <c r="Y114" t="s">
        <v>88</v>
      </c>
      <c r="Z114" s="22">
        <v>0.16900000000000001</v>
      </c>
      <c r="AA114" s="22">
        <v>6.9000000000000006E-2</v>
      </c>
      <c r="AB114" s="36">
        <v>59.17</v>
      </c>
      <c r="AC114" t="s">
        <v>277</v>
      </c>
      <c r="AF114">
        <v>8.3000000000000004E-2</v>
      </c>
      <c r="AI114">
        <v>6.0999999999999999E-2</v>
      </c>
      <c r="AJ114">
        <v>1.7000000000000001E-2</v>
      </c>
      <c r="AK114">
        <v>5.0000000000000001E-3</v>
      </c>
      <c r="AL114" s="36">
        <v>70.599999999999994</v>
      </c>
      <c r="AQ114" t="s">
        <v>87</v>
      </c>
      <c r="AR114" t="s">
        <v>88</v>
      </c>
      <c r="AS114" t="s">
        <v>88</v>
      </c>
      <c r="AT114">
        <v>8</v>
      </c>
      <c r="AU114">
        <v>8.6</v>
      </c>
      <c r="AV114" t="s">
        <v>235</v>
      </c>
      <c r="AW114" s="30" t="s">
        <v>326</v>
      </c>
      <c r="AX114" t="s">
        <v>667</v>
      </c>
      <c r="AY114">
        <v>425000</v>
      </c>
      <c r="BA114">
        <v>397500</v>
      </c>
      <c r="BE114" s="20"/>
      <c r="BF114" s="20"/>
      <c r="BG114">
        <v>5.64</v>
      </c>
      <c r="BJ114">
        <v>42.5</v>
      </c>
      <c r="BP114">
        <v>10000</v>
      </c>
      <c r="BU114">
        <v>0.3</v>
      </c>
      <c r="BV114">
        <v>0</v>
      </c>
      <c r="BW114">
        <v>0.6</v>
      </c>
      <c r="BX114" t="s">
        <v>617</v>
      </c>
      <c r="BY114" t="s">
        <v>96</v>
      </c>
      <c r="CC114" s="28" t="s">
        <v>329</v>
      </c>
      <c r="CD114">
        <v>42.5</v>
      </c>
      <c r="CI114" t="s">
        <v>325</v>
      </c>
      <c r="CK114" t="s">
        <v>324</v>
      </c>
      <c r="CL114" t="s">
        <v>261</v>
      </c>
      <c r="CQ114" t="s">
        <v>327</v>
      </c>
      <c r="CY114" s="24" t="s">
        <v>880</v>
      </c>
    </row>
    <row r="115" spans="1:103" x14ac:dyDescent="0.35">
      <c r="A115">
        <v>163</v>
      </c>
      <c r="B115" s="1">
        <v>76</v>
      </c>
      <c r="C115" t="s">
        <v>444</v>
      </c>
      <c r="D115">
        <v>1996</v>
      </c>
      <c r="E115" s="24" t="s">
        <v>323</v>
      </c>
      <c r="G115" t="s">
        <v>326</v>
      </c>
      <c r="H115">
        <v>2</v>
      </c>
      <c r="I115" t="s">
        <v>198</v>
      </c>
      <c r="J115">
        <v>40.021000000000001</v>
      </c>
      <c r="K115">
        <v>-83.016999999999996</v>
      </c>
      <c r="Q115">
        <v>1</v>
      </c>
      <c r="R115" t="s">
        <v>681</v>
      </c>
      <c r="T115" t="s">
        <v>338</v>
      </c>
      <c r="V115" t="s">
        <v>112</v>
      </c>
      <c r="W115" s="30" t="s">
        <v>326</v>
      </c>
      <c r="Y115" t="s">
        <v>88</v>
      </c>
      <c r="Z115" s="22">
        <v>0.16400000000000001</v>
      </c>
      <c r="AA115" s="22">
        <v>7.3999999999999996E-2</v>
      </c>
      <c r="AB115" s="36">
        <v>54.88</v>
      </c>
      <c r="AC115" t="s">
        <v>277</v>
      </c>
      <c r="AF115">
        <v>0.09</v>
      </c>
      <c r="AI115">
        <v>7.0000000000000007E-2</v>
      </c>
      <c r="AJ115">
        <v>1.9E-2</v>
      </c>
      <c r="AK115">
        <v>6.0000000000000001E-3</v>
      </c>
      <c r="AL115" s="36">
        <v>68.400000000000006</v>
      </c>
      <c r="AQ115" t="s">
        <v>87</v>
      </c>
      <c r="AR115" t="s">
        <v>88</v>
      </c>
      <c r="AS115" t="s">
        <v>88</v>
      </c>
      <c r="AT115">
        <v>8</v>
      </c>
      <c r="AU115">
        <v>8.1999999999999993</v>
      </c>
      <c r="AV115" t="s">
        <v>235</v>
      </c>
      <c r="AW115" s="30" t="s">
        <v>326</v>
      </c>
      <c r="AX115" t="s">
        <v>667</v>
      </c>
      <c r="AY115">
        <v>423500</v>
      </c>
      <c r="BA115">
        <v>379000</v>
      </c>
      <c r="BE115" s="20"/>
      <c r="BF115" s="20"/>
      <c r="BG115">
        <v>5.19</v>
      </c>
      <c r="BJ115">
        <v>42</v>
      </c>
      <c r="BP115">
        <v>10000</v>
      </c>
      <c r="BU115">
        <v>0.3</v>
      </c>
      <c r="BV115">
        <v>0</v>
      </c>
      <c r="BW115">
        <v>0.6</v>
      </c>
      <c r="BX115" t="s">
        <v>328</v>
      </c>
      <c r="CC115">
        <v>144</v>
      </c>
      <c r="CD115">
        <v>42.4</v>
      </c>
      <c r="CI115" t="s">
        <v>325</v>
      </c>
      <c r="CK115" t="s">
        <v>324</v>
      </c>
      <c r="CL115" t="s">
        <v>261</v>
      </c>
      <c r="CQ115" t="s">
        <v>327</v>
      </c>
      <c r="CY115" s="24" t="s">
        <v>880</v>
      </c>
    </row>
    <row r="116" spans="1:103" x14ac:dyDescent="0.35">
      <c r="A116">
        <v>180</v>
      </c>
      <c r="B116" s="1">
        <v>78</v>
      </c>
      <c r="C116" t="s">
        <v>156</v>
      </c>
      <c r="D116">
        <v>2005</v>
      </c>
      <c r="E116" t="s">
        <v>506</v>
      </c>
      <c r="G116" t="s">
        <v>330</v>
      </c>
      <c r="H116">
        <v>2</v>
      </c>
      <c r="I116" t="s">
        <v>204</v>
      </c>
      <c r="J116">
        <v>47.128999999999998</v>
      </c>
      <c r="K116">
        <v>8.202</v>
      </c>
      <c r="M116">
        <v>10</v>
      </c>
      <c r="N116">
        <v>1250</v>
      </c>
      <c r="O116" t="s">
        <v>267</v>
      </c>
      <c r="P116" t="s">
        <v>182</v>
      </c>
      <c r="Q116" s="28" t="s">
        <v>334</v>
      </c>
      <c r="R116" t="s">
        <v>220</v>
      </c>
      <c r="S116" s="24" t="s">
        <v>82</v>
      </c>
      <c r="T116" t="s">
        <v>335</v>
      </c>
      <c r="V116" t="s">
        <v>222</v>
      </c>
      <c r="W116" s="30" t="s">
        <v>330</v>
      </c>
      <c r="Z116" s="22" t="s">
        <v>341</v>
      </c>
      <c r="AA116" s="22" t="s">
        <v>343</v>
      </c>
      <c r="AV116" t="s">
        <v>701</v>
      </c>
      <c r="AW116" s="30" t="s">
        <v>330</v>
      </c>
      <c r="AX116" t="s">
        <v>359</v>
      </c>
      <c r="AY116">
        <v>74300</v>
      </c>
      <c r="BA116">
        <v>75150</v>
      </c>
      <c r="BD116" t="s">
        <v>87</v>
      </c>
      <c r="BE116">
        <v>4.7</v>
      </c>
      <c r="BF116" s="36">
        <v>3.6</v>
      </c>
      <c r="BG116">
        <v>1.1000000000000001</v>
      </c>
      <c r="BH116" s="36">
        <v>23.4</v>
      </c>
      <c r="BJ116">
        <v>2.57</v>
      </c>
      <c r="BP116">
        <v>2350</v>
      </c>
      <c r="BQ116">
        <v>20.399999999999999</v>
      </c>
      <c r="BR116" s="36">
        <v>1.1499999999999999</v>
      </c>
      <c r="BT116">
        <v>2</v>
      </c>
      <c r="BW116">
        <v>0.6</v>
      </c>
      <c r="BX116" t="s">
        <v>311</v>
      </c>
      <c r="BY116" t="s">
        <v>96</v>
      </c>
      <c r="BZ116" t="s">
        <v>342</v>
      </c>
      <c r="CC116" t="s">
        <v>339</v>
      </c>
      <c r="CD116" t="s">
        <v>340</v>
      </c>
      <c r="CG116" t="s">
        <v>333</v>
      </c>
      <c r="CI116" t="s">
        <v>517</v>
      </c>
      <c r="CL116" t="s">
        <v>88</v>
      </c>
      <c r="CR116" t="s">
        <v>331</v>
      </c>
      <c r="CS116" t="s">
        <v>332</v>
      </c>
      <c r="CU116" t="s">
        <v>261</v>
      </c>
      <c r="CV116" t="s">
        <v>261</v>
      </c>
      <c r="CY116" s="24" t="s">
        <v>890</v>
      </c>
    </row>
    <row r="117" spans="1:103" x14ac:dyDescent="0.35">
      <c r="A117">
        <v>182</v>
      </c>
      <c r="B117" s="1">
        <v>79</v>
      </c>
      <c r="C117" t="s">
        <v>155</v>
      </c>
      <c r="D117">
        <v>2011</v>
      </c>
      <c r="E117" t="s">
        <v>504</v>
      </c>
      <c r="G117" t="s">
        <v>330</v>
      </c>
      <c r="H117">
        <v>1</v>
      </c>
      <c r="I117" t="s">
        <v>193</v>
      </c>
      <c r="J117">
        <v>-37.732999999999997</v>
      </c>
      <c r="K117">
        <v>175.583</v>
      </c>
      <c r="M117" t="s">
        <v>702</v>
      </c>
      <c r="O117" t="s">
        <v>441</v>
      </c>
      <c r="Q117" s="28" t="s">
        <v>695</v>
      </c>
      <c r="R117" t="s">
        <v>220</v>
      </c>
      <c r="S117" s="24" t="s">
        <v>82</v>
      </c>
      <c r="T117" t="s">
        <v>661</v>
      </c>
      <c r="V117" t="s">
        <v>187</v>
      </c>
      <c r="W117" t="s">
        <v>330</v>
      </c>
      <c r="Y117" t="s">
        <v>87</v>
      </c>
      <c r="Z117" s="22">
        <v>8.3000000000000004E-2</v>
      </c>
      <c r="AA117" s="22">
        <v>0.28699999999999998</v>
      </c>
      <c r="AB117">
        <v>-247</v>
      </c>
      <c r="AC117" t="s">
        <v>107</v>
      </c>
      <c r="AJ117">
        <v>6.8000000000000005E-2</v>
      </c>
      <c r="AK117">
        <v>0.22900000000000001</v>
      </c>
      <c r="AL117">
        <v>-236</v>
      </c>
      <c r="AQ117" t="s">
        <v>88</v>
      </c>
      <c r="AR117" t="s">
        <v>87</v>
      </c>
      <c r="AS117" t="s">
        <v>87</v>
      </c>
      <c r="AV117" t="s">
        <v>700</v>
      </c>
      <c r="AW117" t="s">
        <v>330</v>
      </c>
      <c r="AX117" t="s">
        <v>523</v>
      </c>
      <c r="BD117" t="s">
        <v>87</v>
      </c>
      <c r="BH117">
        <v>-245</v>
      </c>
      <c r="BP117">
        <v>293</v>
      </c>
      <c r="BQ117">
        <v>26000</v>
      </c>
      <c r="BR117">
        <v>1.1000000000000001</v>
      </c>
      <c r="BS117">
        <v>2</v>
      </c>
      <c r="BT117">
        <v>2</v>
      </c>
      <c r="BU117">
        <v>0.3</v>
      </c>
      <c r="BX117" t="s">
        <v>705</v>
      </c>
      <c r="BY117" t="s">
        <v>96</v>
      </c>
      <c r="BZ117" t="s">
        <v>285</v>
      </c>
      <c r="CA117" t="s">
        <v>709</v>
      </c>
      <c r="CB117" t="s">
        <v>710</v>
      </c>
      <c r="CD117">
        <v>28.09</v>
      </c>
      <c r="CE117">
        <v>8.5</v>
      </c>
      <c r="CH117" t="s">
        <v>265</v>
      </c>
      <c r="CK117" t="s">
        <v>711</v>
      </c>
      <c r="CQ117" t="s">
        <v>712</v>
      </c>
      <c r="CU117" t="s">
        <v>261</v>
      </c>
      <c r="CY117" s="24"/>
    </row>
    <row r="118" spans="1:103" x14ac:dyDescent="0.35">
      <c r="A118">
        <v>183</v>
      </c>
      <c r="B118" s="1">
        <v>79</v>
      </c>
      <c r="C118" t="s">
        <v>155</v>
      </c>
      <c r="D118">
        <v>2011</v>
      </c>
      <c r="E118" t="s">
        <v>504</v>
      </c>
      <c r="G118" t="s">
        <v>693</v>
      </c>
      <c r="H118">
        <v>1</v>
      </c>
      <c r="I118" t="s">
        <v>193</v>
      </c>
      <c r="J118">
        <v>-37.732999999999997</v>
      </c>
      <c r="K118">
        <v>175.583</v>
      </c>
      <c r="M118" t="s">
        <v>702</v>
      </c>
      <c r="O118" t="s">
        <v>441</v>
      </c>
      <c r="Q118" s="28" t="s">
        <v>696</v>
      </c>
      <c r="R118" t="s">
        <v>220</v>
      </c>
      <c r="S118" s="24" t="s">
        <v>82</v>
      </c>
      <c r="T118" t="s">
        <v>661</v>
      </c>
      <c r="V118" t="s">
        <v>187</v>
      </c>
      <c r="W118" t="s">
        <v>693</v>
      </c>
      <c r="Y118" t="s">
        <v>87</v>
      </c>
      <c r="Z118" s="22">
        <v>6.7000000000000004E-2</v>
      </c>
      <c r="AA118" s="22">
        <v>6.2E-2</v>
      </c>
      <c r="AB118">
        <v>8</v>
      </c>
      <c r="AC118" t="s">
        <v>107</v>
      </c>
      <c r="AJ118">
        <v>6.2E-2</v>
      </c>
      <c r="AK118">
        <v>4.9000000000000002E-2</v>
      </c>
      <c r="AL118">
        <v>21</v>
      </c>
      <c r="AQ118" t="s">
        <v>88</v>
      </c>
      <c r="AR118" t="s">
        <v>87</v>
      </c>
      <c r="AS118" t="s">
        <v>87</v>
      </c>
      <c r="AV118" t="s">
        <v>700</v>
      </c>
      <c r="AW118" t="s">
        <v>693</v>
      </c>
      <c r="AX118" t="s">
        <v>523</v>
      </c>
      <c r="BD118" t="s">
        <v>87</v>
      </c>
      <c r="BH118">
        <v>6</v>
      </c>
      <c r="BP118">
        <v>293</v>
      </c>
      <c r="BQ118">
        <v>26000</v>
      </c>
      <c r="BR118">
        <v>1.1000000000000001</v>
      </c>
      <c r="BS118">
        <v>2</v>
      </c>
      <c r="BT118">
        <v>2</v>
      </c>
      <c r="BU118">
        <v>0.3</v>
      </c>
      <c r="BX118" t="s">
        <v>705</v>
      </c>
      <c r="BY118" t="s">
        <v>96</v>
      </c>
      <c r="BZ118" t="s">
        <v>285</v>
      </c>
      <c r="CA118" t="s">
        <v>709</v>
      </c>
      <c r="CB118" t="s">
        <v>710</v>
      </c>
      <c r="CD118">
        <v>20.78</v>
      </c>
      <c r="CE118">
        <v>8.5</v>
      </c>
      <c r="CH118" t="s">
        <v>265</v>
      </c>
      <c r="CK118" t="s">
        <v>711</v>
      </c>
      <c r="CQ118" t="s">
        <v>712</v>
      </c>
      <c r="CU118" t="s">
        <v>261</v>
      </c>
      <c r="CY118" s="24"/>
    </row>
    <row r="119" spans="1:103" x14ac:dyDescent="0.35">
      <c r="A119">
        <v>184</v>
      </c>
      <c r="B119" s="1">
        <v>79</v>
      </c>
      <c r="C119" t="s">
        <v>155</v>
      </c>
      <c r="D119">
        <v>2011</v>
      </c>
      <c r="E119" t="s">
        <v>504</v>
      </c>
      <c r="G119" t="s">
        <v>694</v>
      </c>
      <c r="H119">
        <v>1</v>
      </c>
      <c r="I119" t="s">
        <v>193</v>
      </c>
      <c r="J119">
        <v>-37.732999999999997</v>
      </c>
      <c r="K119">
        <v>175.583</v>
      </c>
      <c r="M119" t="s">
        <v>702</v>
      </c>
      <c r="O119" t="s">
        <v>441</v>
      </c>
      <c r="Q119" s="28" t="s">
        <v>697</v>
      </c>
      <c r="R119" t="s">
        <v>220</v>
      </c>
      <c r="S119" s="24" t="s">
        <v>82</v>
      </c>
      <c r="T119" t="s">
        <v>661</v>
      </c>
      <c r="V119" t="s">
        <v>187</v>
      </c>
      <c r="W119" t="s">
        <v>694</v>
      </c>
      <c r="Y119" t="s">
        <v>87</v>
      </c>
      <c r="Z119" s="22">
        <v>0.123</v>
      </c>
      <c r="AA119" s="22">
        <v>0.124</v>
      </c>
      <c r="AB119">
        <v>-1</v>
      </c>
      <c r="AC119" t="s">
        <v>107</v>
      </c>
      <c r="AJ119">
        <v>0.10199999999999999</v>
      </c>
      <c r="AK119">
        <v>9.1999999999999998E-2</v>
      </c>
      <c r="AL119">
        <v>10</v>
      </c>
      <c r="AQ119" t="s">
        <v>88</v>
      </c>
      <c r="AR119" t="s">
        <v>87</v>
      </c>
      <c r="AS119" t="s">
        <v>87</v>
      </c>
      <c r="AV119" t="s">
        <v>700</v>
      </c>
      <c r="AW119" t="s">
        <v>694</v>
      </c>
      <c r="AX119" t="s">
        <v>523</v>
      </c>
      <c r="BD119" t="s">
        <v>87</v>
      </c>
      <c r="BH119">
        <v>-4</v>
      </c>
      <c r="BP119">
        <v>293</v>
      </c>
      <c r="BQ119">
        <v>26000</v>
      </c>
      <c r="BR119">
        <v>1.1000000000000001</v>
      </c>
      <c r="BS119">
        <v>2</v>
      </c>
      <c r="BT119">
        <v>2</v>
      </c>
      <c r="BU119">
        <v>0.3</v>
      </c>
      <c r="BX119" t="s">
        <v>705</v>
      </c>
      <c r="BY119" t="s">
        <v>96</v>
      </c>
      <c r="BZ119" t="s">
        <v>285</v>
      </c>
      <c r="CA119" t="s">
        <v>709</v>
      </c>
      <c r="CB119" t="s">
        <v>710</v>
      </c>
      <c r="CD119">
        <v>17.12</v>
      </c>
      <c r="CE119">
        <v>8.5</v>
      </c>
      <c r="CH119" t="s">
        <v>265</v>
      </c>
      <c r="CK119" t="s">
        <v>711</v>
      </c>
      <c r="CQ119" t="s">
        <v>712</v>
      </c>
      <c r="CU119" t="s">
        <v>261</v>
      </c>
      <c r="CY119" s="24"/>
    </row>
    <row r="120" spans="1:103" x14ac:dyDescent="0.35">
      <c r="A120">
        <v>185</v>
      </c>
      <c r="B120" s="1">
        <v>79</v>
      </c>
      <c r="C120" t="s">
        <v>155</v>
      </c>
      <c r="D120">
        <v>2011</v>
      </c>
      <c r="E120" t="s">
        <v>504</v>
      </c>
      <c r="G120" t="s">
        <v>373</v>
      </c>
      <c r="H120">
        <v>1</v>
      </c>
      <c r="I120" t="s">
        <v>193</v>
      </c>
      <c r="J120">
        <v>-37.732999999999997</v>
      </c>
      <c r="K120">
        <v>175.583</v>
      </c>
      <c r="M120" t="s">
        <v>702</v>
      </c>
      <c r="O120" t="s">
        <v>441</v>
      </c>
      <c r="Q120" s="28" t="s">
        <v>698</v>
      </c>
      <c r="R120" t="s">
        <v>220</v>
      </c>
      <c r="S120" s="24" t="s">
        <v>82</v>
      </c>
      <c r="T120" t="s">
        <v>661</v>
      </c>
      <c r="V120" t="s">
        <v>187</v>
      </c>
      <c r="W120" t="s">
        <v>373</v>
      </c>
      <c r="Y120" t="s">
        <v>87</v>
      </c>
      <c r="Z120" s="22">
        <v>3.4000000000000002E-2</v>
      </c>
      <c r="AA120" s="22">
        <v>5.8999999999999997E-2</v>
      </c>
      <c r="AB120">
        <v>-72</v>
      </c>
      <c r="AC120" t="s">
        <v>107</v>
      </c>
      <c r="AJ120">
        <v>2.4E-2</v>
      </c>
      <c r="AK120">
        <v>3.9E-2</v>
      </c>
      <c r="AL120">
        <v>-64</v>
      </c>
      <c r="AQ120" t="s">
        <v>88</v>
      </c>
      <c r="AR120" t="s">
        <v>87</v>
      </c>
      <c r="AS120" t="s">
        <v>87</v>
      </c>
      <c r="AV120" t="s">
        <v>700</v>
      </c>
      <c r="AW120" t="s">
        <v>373</v>
      </c>
      <c r="AX120" t="s">
        <v>523</v>
      </c>
      <c r="BD120" t="s">
        <v>87</v>
      </c>
      <c r="BH120">
        <v>-76</v>
      </c>
      <c r="BP120">
        <v>293</v>
      </c>
      <c r="BQ120">
        <v>26000</v>
      </c>
      <c r="BR120">
        <v>1.1000000000000001</v>
      </c>
      <c r="BS120">
        <v>2</v>
      </c>
      <c r="BT120">
        <v>2</v>
      </c>
      <c r="BU120">
        <v>0.3</v>
      </c>
      <c r="BX120" t="s">
        <v>705</v>
      </c>
      <c r="BY120" t="s">
        <v>96</v>
      </c>
      <c r="BZ120" t="s">
        <v>285</v>
      </c>
      <c r="CA120" t="s">
        <v>709</v>
      </c>
      <c r="CB120" t="s">
        <v>710</v>
      </c>
      <c r="CD120">
        <v>33.74</v>
      </c>
      <c r="CE120">
        <v>8.5</v>
      </c>
      <c r="CH120" t="s">
        <v>265</v>
      </c>
      <c r="CK120" t="s">
        <v>711</v>
      </c>
      <c r="CQ120" t="s">
        <v>712</v>
      </c>
      <c r="CU120" t="s">
        <v>261</v>
      </c>
      <c r="CY120" s="24"/>
    </row>
    <row r="121" spans="1:103" x14ac:dyDescent="0.35">
      <c r="A121">
        <v>186</v>
      </c>
      <c r="B121" s="1">
        <v>79</v>
      </c>
      <c r="C121" t="s">
        <v>155</v>
      </c>
      <c r="D121">
        <v>2011</v>
      </c>
      <c r="E121" t="s">
        <v>504</v>
      </c>
      <c r="G121" t="s">
        <v>587</v>
      </c>
      <c r="H121">
        <v>1</v>
      </c>
      <c r="I121" t="s">
        <v>193</v>
      </c>
      <c r="J121">
        <v>-37.732999999999997</v>
      </c>
      <c r="K121">
        <v>175.583</v>
      </c>
      <c r="M121" t="s">
        <v>702</v>
      </c>
      <c r="O121" t="s">
        <v>441</v>
      </c>
      <c r="Q121" s="28" t="s">
        <v>699</v>
      </c>
      <c r="R121" t="s">
        <v>220</v>
      </c>
      <c r="S121" s="24" t="s">
        <v>82</v>
      </c>
      <c r="T121" t="s">
        <v>661</v>
      </c>
      <c r="V121" t="s">
        <v>187</v>
      </c>
      <c r="W121" t="s">
        <v>587</v>
      </c>
      <c r="Y121" t="s">
        <v>87</v>
      </c>
      <c r="Z121" s="22">
        <v>3.7999999999999999E-2</v>
      </c>
      <c r="AA121" s="22">
        <v>0.113</v>
      </c>
      <c r="AB121">
        <v>-194</v>
      </c>
      <c r="AC121" t="s">
        <v>107</v>
      </c>
      <c r="AJ121">
        <v>2.8000000000000001E-2</v>
      </c>
      <c r="AK121">
        <v>6.9000000000000006E-2</v>
      </c>
      <c r="AL121">
        <v>-144</v>
      </c>
      <c r="AQ121" t="s">
        <v>88</v>
      </c>
      <c r="AR121" t="s">
        <v>87</v>
      </c>
      <c r="AS121" t="s">
        <v>87</v>
      </c>
      <c r="AV121" t="s">
        <v>700</v>
      </c>
      <c r="AW121" t="s">
        <v>587</v>
      </c>
      <c r="AX121" t="s">
        <v>523</v>
      </c>
      <c r="BD121" t="s">
        <v>87</v>
      </c>
      <c r="BH121">
        <v>-203</v>
      </c>
      <c r="BP121">
        <v>293</v>
      </c>
      <c r="BQ121">
        <v>26000</v>
      </c>
      <c r="BR121">
        <v>1.1000000000000001</v>
      </c>
      <c r="BS121">
        <v>2</v>
      </c>
      <c r="BT121">
        <v>2</v>
      </c>
      <c r="BU121">
        <v>0.3</v>
      </c>
      <c r="BX121" t="s">
        <v>705</v>
      </c>
      <c r="BY121" t="s">
        <v>96</v>
      </c>
      <c r="BZ121" t="s">
        <v>285</v>
      </c>
      <c r="CA121" t="s">
        <v>708</v>
      </c>
      <c r="CD121">
        <v>26.75</v>
      </c>
      <c r="CE121">
        <v>8.5</v>
      </c>
      <c r="CH121" t="s">
        <v>265</v>
      </c>
      <c r="CK121" t="s">
        <v>711</v>
      </c>
      <c r="CQ121" t="s">
        <v>712</v>
      </c>
      <c r="CU121" t="s">
        <v>261</v>
      </c>
      <c r="CY121" s="24"/>
    </row>
    <row r="122" spans="1:103" x14ac:dyDescent="0.35">
      <c r="A122">
        <v>187</v>
      </c>
      <c r="B122" s="1">
        <v>79</v>
      </c>
      <c r="C122" t="s">
        <v>155</v>
      </c>
      <c r="D122">
        <v>2011</v>
      </c>
      <c r="E122" t="s">
        <v>505</v>
      </c>
      <c r="G122" t="s">
        <v>330</v>
      </c>
      <c r="H122">
        <v>1</v>
      </c>
      <c r="I122" t="s">
        <v>193</v>
      </c>
      <c r="J122">
        <v>-35.716999999999999</v>
      </c>
      <c r="K122">
        <v>174.05</v>
      </c>
      <c r="M122" t="s">
        <v>703</v>
      </c>
      <c r="O122" t="s">
        <v>441</v>
      </c>
      <c r="Q122" s="28" t="s">
        <v>695</v>
      </c>
      <c r="R122" t="s">
        <v>220</v>
      </c>
      <c r="S122" s="24" t="s">
        <v>82</v>
      </c>
      <c r="T122" t="s">
        <v>661</v>
      </c>
      <c r="V122" t="s">
        <v>187</v>
      </c>
      <c r="W122" t="s">
        <v>330</v>
      </c>
      <c r="Y122" t="s">
        <v>87</v>
      </c>
      <c r="Z122" s="22">
        <v>0.34200000000000003</v>
      </c>
      <c r="AA122" s="22">
        <v>0.16900000000000001</v>
      </c>
      <c r="AB122">
        <v>50</v>
      </c>
      <c r="AC122" t="s">
        <v>107</v>
      </c>
      <c r="AJ122">
        <v>0.05</v>
      </c>
      <c r="AK122">
        <v>9.0999999999999998E-2</v>
      </c>
      <c r="AL122">
        <v>-80</v>
      </c>
      <c r="AQ122" t="s">
        <v>88</v>
      </c>
      <c r="AR122" t="s">
        <v>87</v>
      </c>
      <c r="AS122" t="s">
        <v>87</v>
      </c>
      <c r="AV122" t="s">
        <v>700</v>
      </c>
      <c r="AW122" t="s">
        <v>330</v>
      </c>
      <c r="AX122" t="s">
        <v>523</v>
      </c>
      <c r="BD122" t="s">
        <v>87</v>
      </c>
      <c r="BH122">
        <v>50</v>
      </c>
      <c r="BP122">
        <v>898</v>
      </c>
      <c r="BQ122">
        <v>56500</v>
      </c>
      <c r="BR122">
        <v>1.6</v>
      </c>
      <c r="BS122">
        <v>2</v>
      </c>
      <c r="BT122">
        <v>2</v>
      </c>
      <c r="BU122" t="s">
        <v>704</v>
      </c>
      <c r="BX122" t="s">
        <v>706</v>
      </c>
      <c r="BY122" t="s">
        <v>96</v>
      </c>
      <c r="BZ122" t="s">
        <v>707</v>
      </c>
      <c r="CD122">
        <v>53.46</v>
      </c>
      <c r="CE122">
        <v>5.8</v>
      </c>
      <c r="CH122" t="s">
        <v>265</v>
      </c>
      <c r="CK122" t="s">
        <v>711</v>
      </c>
      <c r="CU122" t="s">
        <v>261</v>
      </c>
      <c r="CY122" s="24"/>
    </row>
    <row r="123" spans="1:103" x14ac:dyDescent="0.35">
      <c r="A123">
        <v>188</v>
      </c>
      <c r="B123" s="1">
        <v>79</v>
      </c>
      <c r="C123" t="s">
        <v>155</v>
      </c>
      <c r="D123">
        <v>2011</v>
      </c>
      <c r="E123" t="s">
        <v>505</v>
      </c>
      <c r="G123" t="s">
        <v>693</v>
      </c>
      <c r="H123">
        <v>1</v>
      </c>
      <c r="I123" t="s">
        <v>193</v>
      </c>
      <c r="J123">
        <v>-35.716999999999999</v>
      </c>
      <c r="K123">
        <v>174.05</v>
      </c>
      <c r="M123" t="s">
        <v>703</v>
      </c>
      <c r="O123" t="s">
        <v>441</v>
      </c>
      <c r="Q123" s="28" t="s">
        <v>696</v>
      </c>
      <c r="R123" t="s">
        <v>220</v>
      </c>
      <c r="S123" s="24" t="s">
        <v>82</v>
      </c>
      <c r="T123" t="s">
        <v>661</v>
      </c>
      <c r="V123" t="s">
        <v>187</v>
      </c>
      <c r="W123" t="s">
        <v>693</v>
      </c>
      <c r="Y123" t="s">
        <v>87</v>
      </c>
      <c r="Z123" s="22">
        <v>0.20699999999999999</v>
      </c>
      <c r="AA123" s="22">
        <v>0.27200000000000002</v>
      </c>
      <c r="AB123">
        <v>-32</v>
      </c>
      <c r="AC123" t="s">
        <v>107</v>
      </c>
      <c r="AJ123">
        <v>0.05</v>
      </c>
      <c r="AK123">
        <v>0.17399999999999999</v>
      </c>
      <c r="AL123">
        <v>-245</v>
      </c>
      <c r="AQ123" t="s">
        <v>88</v>
      </c>
      <c r="AR123" t="s">
        <v>87</v>
      </c>
      <c r="AS123" t="s">
        <v>87</v>
      </c>
      <c r="AV123" t="s">
        <v>700</v>
      </c>
      <c r="AW123" t="s">
        <v>693</v>
      </c>
      <c r="AX123" t="s">
        <v>523</v>
      </c>
      <c r="BD123" t="s">
        <v>87</v>
      </c>
      <c r="BH123">
        <v>-30</v>
      </c>
      <c r="BP123">
        <v>898</v>
      </c>
      <c r="BQ123">
        <v>56500</v>
      </c>
      <c r="BR123">
        <v>1.6</v>
      </c>
      <c r="BS123">
        <v>2</v>
      </c>
      <c r="BT123">
        <v>2</v>
      </c>
      <c r="BU123" t="s">
        <v>704</v>
      </c>
      <c r="BX123" t="s">
        <v>706</v>
      </c>
      <c r="BY123" t="s">
        <v>96</v>
      </c>
      <c r="BZ123" t="s">
        <v>707</v>
      </c>
      <c r="CD123">
        <v>52.06</v>
      </c>
      <c r="CE123">
        <v>5.8</v>
      </c>
      <c r="CH123" t="s">
        <v>265</v>
      </c>
      <c r="CK123" t="s">
        <v>711</v>
      </c>
      <c r="CU123" t="s">
        <v>261</v>
      </c>
      <c r="CY123" s="24"/>
    </row>
    <row r="124" spans="1:103" x14ac:dyDescent="0.35">
      <c r="A124">
        <v>189</v>
      </c>
      <c r="B124" s="1">
        <v>79</v>
      </c>
      <c r="C124" t="s">
        <v>155</v>
      </c>
      <c r="D124">
        <v>2011</v>
      </c>
      <c r="E124" t="s">
        <v>505</v>
      </c>
      <c r="G124" t="s">
        <v>694</v>
      </c>
      <c r="H124">
        <v>1</v>
      </c>
      <c r="I124" t="s">
        <v>193</v>
      </c>
      <c r="J124">
        <v>-35.716999999999999</v>
      </c>
      <c r="K124">
        <v>174.05</v>
      </c>
      <c r="M124" t="s">
        <v>703</v>
      </c>
      <c r="O124" t="s">
        <v>441</v>
      </c>
      <c r="Q124" s="28" t="s">
        <v>697</v>
      </c>
      <c r="R124" t="s">
        <v>220</v>
      </c>
      <c r="S124" s="24" t="s">
        <v>82</v>
      </c>
      <c r="T124" t="s">
        <v>661</v>
      </c>
      <c r="V124" t="s">
        <v>187</v>
      </c>
      <c r="W124" t="s">
        <v>694</v>
      </c>
      <c r="Y124" t="s">
        <v>87</v>
      </c>
      <c r="Z124" s="22">
        <v>0.22600000000000001</v>
      </c>
      <c r="AA124" s="22">
        <v>0.432</v>
      </c>
      <c r="AB124">
        <v>-91</v>
      </c>
      <c r="AC124" t="s">
        <v>107</v>
      </c>
      <c r="AJ124">
        <v>3.6999999999999998E-2</v>
      </c>
      <c r="AK124">
        <v>0.20899999999999999</v>
      </c>
      <c r="AL124">
        <v>-464</v>
      </c>
      <c r="AQ124" t="s">
        <v>88</v>
      </c>
      <c r="AR124" t="s">
        <v>87</v>
      </c>
      <c r="AS124" t="s">
        <v>87</v>
      </c>
      <c r="AV124" t="s">
        <v>700</v>
      </c>
      <c r="AW124" t="s">
        <v>694</v>
      </c>
      <c r="AX124" t="s">
        <v>523</v>
      </c>
      <c r="BD124" t="s">
        <v>87</v>
      </c>
      <c r="BH124">
        <v>-90</v>
      </c>
      <c r="BP124">
        <v>898</v>
      </c>
      <c r="BQ124">
        <v>56500</v>
      </c>
      <c r="BR124">
        <v>1.6</v>
      </c>
      <c r="BS124">
        <v>2</v>
      </c>
      <c r="BT124">
        <v>2</v>
      </c>
      <c r="BU124" t="s">
        <v>704</v>
      </c>
      <c r="BX124" t="s">
        <v>706</v>
      </c>
      <c r="BY124" t="s">
        <v>96</v>
      </c>
      <c r="BZ124" t="s">
        <v>707</v>
      </c>
      <c r="CD124">
        <v>53.64</v>
      </c>
      <c r="CE124">
        <v>5.8</v>
      </c>
      <c r="CH124" t="s">
        <v>265</v>
      </c>
      <c r="CK124" t="s">
        <v>711</v>
      </c>
      <c r="CU124" t="s">
        <v>261</v>
      </c>
      <c r="CY124" s="24"/>
    </row>
    <row r="125" spans="1:103" x14ac:dyDescent="0.35">
      <c r="A125">
        <v>3</v>
      </c>
      <c r="B125" s="1">
        <v>83</v>
      </c>
      <c r="C125" t="s">
        <v>146</v>
      </c>
      <c r="D125">
        <v>2018</v>
      </c>
      <c r="E125" t="s">
        <v>66</v>
      </c>
      <c r="G125" t="s">
        <v>424</v>
      </c>
      <c r="H125">
        <v>1</v>
      </c>
      <c r="I125" t="s">
        <v>69</v>
      </c>
      <c r="J125" s="14">
        <v>26.654</v>
      </c>
      <c r="K125" s="14">
        <v>-80.334999999999994</v>
      </c>
      <c r="O125" t="s">
        <v>80</v>
      </c>
      <c r="R125" t="s">
        <v>81</v>
      </c>
      <c r="S125" s="24" t="s">
        <v>82</v>
      </c>
      <c r="T125" t="s">
        <v>338</v>
      </c>
      <c r="V125" t="s">
        <v>222</v>
      </c>
      <c r="W125" t="s">
        <v>424</v>
      </c>
      <c r="Z125" s="22">
        <v>0.109</v>
      </c>
      <c r="AA125" s="22">
        <v>2.1000000000000001E-2</v>
      </c>
      <c r="AB125" s="36">
        <v>80.739999999999995</v>
      </c>
      <c r="AC125" t="s">
        <v>107</v>
      </c>
      <c r="AQ125" t="s">
        <v>88</v>
      </c>
      <c r="AR125" t="s">
        <v>88</v>
      </c>
      <c r="AS125" t="s">
        <v>87</v>
      </c>
      <c r="AV125" t="s">
        <v>378</v>
      </c>
      <c r="AW125" t="s">
        <v>424</v>
      </c>
      <c r="AX125" t="s">
        <v>644</v>
      </c>
      <c r="AY125">
        <v>105000000</v>
      </c>
      <c r="BA125">
        <v>94000000</v>
      </c>
      <c r="BE125">
        <v>0.56000000000000005</v>
      </c>
      <c r="BF125" s="36">
        <v>0.10000000000000003</v>
      </c>
      <c r="BG125">
        <v>0.46</v>
      </c>
      <c r="BH125">
        <v>83</v>
      </c>
      <c r="BP125">
        <v>20630000</v>
      </c>
      <c r="BX125" t="s">
        <v>628</v>
      </c>
      <c r="BY125" t="s">
        <v>95</v>
      </c>
      <c r="BZ125" t="s">
        <v>96</v>
      </c>
      <c r="CC125">
        <v>360</v>
      </c>
      <c r="CD125">
        <v>5.1100000000000003</v>
      </c>
      <c r="CR125" t="s">
        <v>261</v>
      </c>
      <c r="CY125" s="24" t="s">
        <v>800</v>
      </c>
    </row>
    <row r="126" spans="1:103" x14ac:dyDescent="0.35">
      <c r="A126">
        <v>4</v>
      </c>
      <c r="B126" s="1">
        <v>83</v>
      </c>
      <c r="C126" t="s">
        <v>146</v>
      </c>
      <c r="D126">
        <v>2018</v>
      </c>
      <c r="E126" t="s">
        <v>70</v>
      </c>
      <c r="G126" t="s">
        <v>424</v>
      </c>
      <c r="H126">
        <v>1</v>
      </c>
      <c r="I126" t="s">
        <v>69</v>
      </c>
      <c r="J126" s="14">
        <v>26.641999999999999</v>
      </c>
      <c r="K126" s="14">
        <v>-80.424999999999997</v>
      </c>
      <c r="O126" t="s">
        <v>80</v>
      </c>
      <c r="R126" t="s">
        <v>81</v>
      </c>
      <c r="S126" s="24" t="s">
        <v>82</v>
      </c>
      <c r="T126" t="s">
        <v>338</v>
      </c>
      <c r="V126" t="s">
        <v>222</v>
      </c>
      <c r="W126" t="s">
        <v>424</v>
      </c>
      <c r="Z126" s="22">
        <v>0.14299999999999999</v>
      </c>
      <c r="AA126" s="22">
        <v>2.1999999999999999E-2</v>
      </c>
      <c r="AB126" s="36">
        <v>84.62</v>
      </c>
      <c r="AC126" t="s">
        <v>107</v>
      </c>
      <c r="AQ126" t="s">
        <v>88</v>
      </c>
      <c r="AR126" t="s">
        <v>88</v>
      </c>
      <c r="AS126" t="s">
        <v>87</v>
      </c>
      <c r="AV126" t="s">
        <v>378</v>
      </c>
      <c r="AW126" t="s">
        <v>424</v>
      </c>
      <c r="AX126" t="s">
        <v>644</v>
      </c>
      <c r="AY126">
        <v>119000000</v>
      </c>
      <c r="BA126">
        <v>116000000</v>
      </c>
      <c r="BE126">
        <v>0.63</v>
      </c>
      <c r="BF126" s="36">
        <v>8.9999999999999969E-2</v>
      </c>
      <c r="BG126">
        <v>0.54</v>
      </c>
      <c r="BH126">
        <v>85</v>
      </c>
      <c r="BP126">
        <v>26990000</v>
      </c>
      <c r="BX126" t="s">
        <v>628</v>
      </c>
      <c r="BY126" t="s">
        <v>95</v>
      </c>
      <c r="BZ126" t="s">
        <v>96</v>
      </c>
      <c r="CC126">
        <v>984</v>
      </c>
      <c r="CD126">
        <v>4.42</v>
      </c>
      <c r="CR126" t="s">
        <v>261</v>
      </c>
      <c r="CY126" s="24" t="s">
        <v>800</v>
      </c>
    </row>
    <row r="127" spans="1:103" x14ac:dyDescent="0.35">
      <c r="A127">
        <v>5</v>
      </c>
      <c r="B127" s="1">
        <v>83</v>
      </c>
      <c r="C127" t="s">
        <v>146</v>
      </c>
      <c r="D127">
        <v>2018</v>
      </c>
      <c r="E127" t="s">
        <v>71</v>
      </c>
      <c r="G127" t="s">
        <v>424</v>
      </c>
      <c r="H127">
        <v>1</v>
      </c>
      <c r="I127" t="s">
        <v>69</v>
      </c>
      <c r="J127" s="14">
        <v>26.397279999999999</v>
      </c>
      <c r="K127" s="14">
        <v>-80.524259999999998</v>
      </c>
      <c r="O127" t="s">
        <v>80</v>
      </c>
      <c r="R127" t="s">
        <v>81</v>
      </c>
      <c r="S127" s="24" t="s">
        <v>82</v>
      </c>
      <c r="T127" t="s">
        <v>338</v>
      </c>
      <c r="V127" t="s">
        <v>222</v>
      </c>
      <c r="W127" t="s">
        <v>424</v>
      </c>
      <c r="Z127" s="22">
        <v>8.6999999999999994E-2</v>
      </c>
      <c r="AA127" s="22">
        <v>1.2E-2</v>
      </c>
      <c r="AB127" s="36">
        <v>86.21</v>
      </c>
      <c r="AC127" t="s">
        <v>107</v>
      </c>
      <c r="AQ127" t="s">
        <v>88</v>
      </c>
      <c r="AR127" t="s">
        <v>88</v>
      </c>
      <c r="AS127" t="s">
        <v>87</v>
      </c>
      <c r="AV127" t="s">
        <v>378</v>
      </c>
      <c r="AW127" t="s">
        <v>424</v>
      </c>
      <c r="AX127" t="s">
        <v>644</v>
      </c>
      <c r="AY127">
        <v>241000000</v>
      </c>
      <c r="BA127">
        <v>268000000</v>
      </c>
      <c r="BE127">
        <v>0.82</v>
      </c>
      <c r="BF127" s="36">
        <v>0.13</v>
      </c>
      <c r="BG127">
        <v>0.69</v>
      </c>
      <c r="BH127">
        <v>84</v>
      </c>
      <c r="BP127">
        <v>25650000</v>
      </c>
      <c r="BX127" t="s">
        <v>628</v>
      </c>
      <c r="BY127" t="s">
        <v>95</v>
      </c>
      <c r="BZ127" t="s">
        <v>96</v>
      </c>
      <c r="CC127">
        <v>456</v>
      </c>
      <c r="CD127">
        <v>9.42</v>
      </c>
      <c r="CR127" t="s">
        <v>261</v>
      </c>
      <c r="CY127" s="24" t="s">
        <v>800</v>
      </c>
    </row>
    <row r="128" spans="1:103" x14ac:dyDescent="0.35">
      <c r="A128">
        <v>6</v>
      </c>
      <c r="B128" s="1">
        <v>83</v>
      </c>
      <c r="C128" t="s">
        <v>146</v>
      </c>
      <c r="D128">
        <v>2018</v>
      </c>
      <c r="E128" t="s">
        <v>72</v>
      </c>
      <c r="G128" t="s">
        <v>424</v>
      </c>
      <c r="H128">
        <v>1</v>
      </c>
      <c r="I128" t="s">
        <v>69</v>
      </c>
      <c r="J128" s="14">
        <v>26.36627</v>
      </c>
      <c r="K128" s="14">
        <v>-80.638739999999999</v>
      </c>
      <c r="O128" t="s">
        <v>80</v>
      </c>
      <c r="R128" t="s">
        <v>81</v>
      </c>
      <c r="S128" s="24" t="s">
        <v>82</v>
      </c>
      <c r="T128" t="s">
        <v>338</v>
      </c>
      <c r="V128" t="s">
        <v>222</v>
      </c>
      <c r="W128" t="s">
        <v>424</v>
      </c>
      <c r="Z128" s="22">
        <v>0.109</v>
      </c>
      <c r="AA128" s="22">
        <v>1.9E-2</v>
      </c>
      <c r="AB128" s="36">
        <v>82.57</v>
      </c>
      <c r="AC128" t="s">
        <v>107</v>
      </c>
      <c r="AQ128" t="s">
        <v>88</v>
      </c>
      <c r="AR128" t="s">
        <v>88</v>
      </c>
      <c r="AS128" t="s">
        <v>87</v>
      </c>
      <c r="AV128" t="s">
        <v>378</v>
      </c>
      <c r="AW128" t="s">
        <v>424</v>
      </c>
      <c r="AX128" t="s">
        <v>644</v>
      </c>
      <c r="AY128">
        <v>332000000</v>
      </c>
      <c r="BA128">
        <v>359000000</v>
      </c>
      <c r="BE128">
        <v>0.54</v>
      </c>
      <c r="BF128" s="36">
        <v>0.10000000000000003</v>
      </c>
      <c r="BG128">
        <v>0.44</v>
      </c>
      <c r="BH128">
        <v>82</v>
      </c>
      <c r="BP128">
        <v>66950000</v>
      </c>
      <c r="BX128" t="s">
        <v>628</v>
      </c>
      <c r="BY128" t="s">
        <v>96</v>
      </c>
      <c r="BZ128" t="s">
        <v>95</v>
      </c>
      <c r="CC128">
        <v>744</v>
      </c>
      <c r="CD128">
        <v>4.96</v>
      </c>
      <c r="CR128" t="s">
        <v>261</v>
      </c>
      <c r="CY128" s="24" t="s">
        <v>800</v>
      </c>
    </row>
    <row r="129" spans="1:103" x14ac:dyDescent="0.35">
      <c r="A129">
        <v>7</v>
      </c>
      <c r="B129" s="1">
        <v>83</v>
      </c>
      <c r="C129" t="s">
        <v>146</v>
      </c>
      <c r="D129">
        <v>2018</v>
      </c>
      <c r="E129" t="s">
        <v>73</v>
      </c>
      <c r="G129" t="s">
        <v>424</v>
      </c>
      <c r="H129">
        <v>1</v>
      </c>
      <c r="I129" t="s">
        <v>69</v>
      </c>
      <c r="J129" s="14">
        <v>26.443999999999999</v>
      </c>
      <c r="K129" s="14">
        <v>-80.903660000000002</v>
      </c>
      <c r="O129" t="s">
        <v>80</v>
      </c>
      <c r="R129" t="s">
        <v>81</v>
      </c>
      <c r="S129" s="24" t="s">
        <v>82</v>
      </c>
      <c r="T129" t="s">
        <v>338</v>
      </c>
      <c r="V129" t="s">
        <v>222</v>
      </c>
      <c r="W129" t="s">
        <v>424</v>
      </c>
      <c r="Z129" s="22">
        <v>0.156</v>
      </c>
      <c r="AA129" s="22">
        <v>3.2000000000000001E-2</v>
      </c>
      <c r="AB129" s="36">
        <v>79.489999999999995</v>
      </c>
      <c r="AC129" t="s">
        <v>107</v>
      </c>
      <c r="AQ129" t="s">
        <v>88</v>
      </c>
      <c r="AR129" t="s">
        <v>88</v>
      </c>
      <c r="AS129" t="s">
        <v>87</v>
      </c>
      <c r="AV129" t="s">
        <v>378</v>
      </c>
      <c r="AW129" t="s">
        <v>424</v>
      </c>
      <c r="AX129" t="s">
        <v>644</v>
      </c>
      <c r="AY129">
        <v>58000000</v>
      </c>
      <c r="BA129">
        <v>51000000</v>
      </c>
      <c r="BE129">
        <v>0.37</v>
      </c>
      <c r="BF129" s="36">
        <v>7.0000000000000007E-2</v>
      </c>
      <c r="BG129">
        <v>0.3</v>
      </c>
      <c r="BH129">
        <v>82</v>
      </c>
      <c r="BP129">
        <v>24670000</v>
      </c>
      <c r="BX129" t="s">
        <v>628</v>
      </c>
      <c r="BY129" t="s">
        <v>96</v>
      </c>
      <c r="BZ129" t="s">
        <v>95</v>
      </c>
      <c r="CC129">
        <v>1104</v>
      </c>
      <c r="CD129">
        <v>2.37</v>
      </c>
      <c r="CR129" t="s">
        <v>261</v>
      </c>
      <c r="CY129" s="24" t="s">
        <v>800</v>
      </c>
    </row>
    <row r="130" spans="1:103" x14ac:dyDescent="0.35">
      <c r="A130">
        <v>8</v>
      </c>
      <c r="B130" s="1">
        <v>83</v>
      </c>
      <c r="C130" t="s">
        <v>146</v>
      </c>
      <c r="D130">
        <v>2018</v>
      </c>
      <c r="E130" t="s">
        <v>74</v>
      </c>
      <c r="G130" t="s">
        <v>424</v>
      </c>
      <c r="H130">
        <v>1</v>
      </c>
      <c r="I130" t="s">
        <v>69</v>
      </c>
      <c r="J130" s="14">
        <v>26.34881</v>
      </c>
      <c r="K130" s="14">
        <v>-80.886930000000007</v>
      </c>
      <c r="O130" t="s">
        <v>80</v>
      </c>
      <c r="R130" t="s">
        <v>81</v>
      </c>
      <c r="S130" s="24" t="s">
        <v>82</v>
      </c>
      <c r="T130" t="s">
        <v>338</v>
      </c>
      <c r="V130" t="s">
        <v>222</v>
      </c>
      <c r="W130" t="s">
        <v>424</v>
      </c>
      <c r="Z130" s="22">
        <v>0.123</v>
      </c>
      <c r="AA130" s="22">
        <v>7.4999999999999997E-2</v>
      </c>
      <c r="AB130" s="36">
        <v>39.020000000000003</v>
      </c>
      <c r="AC130" t="s">
        <v>107</v>
      </c>
      <c r="AQ130" t="s">
        <v>88</v>
      </c>
      <c r="AR130" t="s">
        <v>88</v>
      </c>
      <c r="AS130" t="s">
        <v>87</v>
      </c>
      <c r="AV130" t="s">
        <v>378</v>
      </c>
      <c r="AW130" t="s">
        <v>424</v>
      </c>
      <c r="AX130" t="s">
        <v>644</v>
      </c>
      <c r="AY130">
        <v>21000000</v>
      </c>
      <c r="BA130">
        <v>11000000</v>
      </c>
      <c r="BE130">
        <v>0.76</v>
      </c>
      <c r="BF130" s="36">
        <v>0.24</v>
      </c>
      <c r="BG130">
        <v>0.52</v>
      </c>
      <c r="BH130">
        <v>68</v>
      </c>
      <c r="BP130">
        <v>3380000</v>
      </c>
      <c r="BX130" t="s">
        <v>628</v>
      </c>
      <c r="BY130" t="s">
        <v>96</v>
      </c>
      <c r="BZ130" t="s">
        <v>95</v>
      </c>
      <c r="CC130">
        <v>72</v>
      </c>
      <c r="CD130">
        <v>6.21</v>
      </c>
      <c r="CR130" t="s">
        <v>261</v>
      </c>
      <c r="CY130" s="24" t="s">
        <v>800</v>
      </c>
    </row>
    <row r="131" spans="1:103" ht="16.5" x14ac:dyDescent="0.35">
      <c r="A131">
        <v>35</v>
      </c>
      <c r="B131" s="1">
        <v>102</v>
      </c>
      <c r="C131" t="s">
        <v>448</v>
      </c>
      <c r="D131">
        <v>2015</v>
      </c>
      <c r="E131" t="s">
        <v>447</v>
      </c>
      <c r="G131" t="s">
        <v>445</v>
      </c>
      <c r="H131">
        <v>4</v>
      </c>
      <c r="I131" t="s">
        <v>202</v>
      </c>
      <c r="J131">
        <v>54.317999999999998</v>
      </c>
      <c r="K131">
        <v>-6.8940000000000001</v>
      </c>
      <c r="O131" t="s">
        <v>441</v>
      </c>
      <c r="Q131">
        <v>4</v>
      </c>
      <c r="R131" t="s">
        <v>229</v>
      </c>
      <c r="T131" t="s">
        <v>338</v>
      </c>
      <c r="V131" t="s">
        <v>187</v>
      </c>
      <c r="W131" t="s">
        <v>445</v>
      </c>
      <c r="Z131" s="22">
        <v>7.7</v>
      </c>
      <c r="AA131" s="22">
        <v>0.5</v>
      </c>
      <c r="AB131">
        <v>94</v>
      </c>
      <c r="AC131" t="s">
        <v>277</v>
      </c>
      <c r="AJ131">
        <v>4.5999999999999996</v>
      </c>
      <c r="AK131">
        <v>0.4</v>
      </c>
      <c r="AL131">
        <v>91</v>
      </c>
      <c r="AQ131" t="s">
        <v>87</v>
      </c>
      <c r="AR131" t="s">
        <v>88</v>
      </c>
      <c r="AS131" t="s">
        <v>88</v>
      </c>
      <c r="AV131" t="s">
        <v>446</v>
      </c>
      <c r="AW131" t="s">
        <v>445</v>
      </c>
      <c r="AX131" t="s">
        <v>359</v>
      </c>
      <c r="BE131">
        <v>15.7</v>
      </c>
      <c r="BF131" s="36">
        <v>1.1000000000000001</v>
      </c>
      <c r="BG131">
        <v>14.6</v>
      </c>
      <c r="BH131">
        <v>92.3</v>
      </c>
      <c r="BI131">
        <v>7.9</v>
      </c>
      <c r="BK131">
        <v>11.32</v>
      </c>
      <c r="BL131" s="36">
        <v>1.1000000000000001</v>
      </c>
      <c r="BM131">
        <v>10.220000000000001</v>
      </c>
      <c r="BN131">
        <v>91.4</v>
      </c>
      <c r="BP131">
        <v>33104</v>
      </c>
      <c r="BS131">
        <v>6</v>
      </c>
      <c r="BT131">
        <v>7</v>
      </c>
      <c r="BV131">
        <v>0.28999999999999998</v>
      </c>
      <c r="BW131">
        <v>0.45</v>
      </c>
      <c r="BX131" t="s">
        <v>635</v>
      </c>
      <c r="BY131" t="s">
        <v>96</v>
      </c>
      <c r="BZ131" t="s">
        <v>285</v>
      </c>
      <c r="CH131" t="s">
        <v>104</v>
      </c>
      <c r="CI131" t="s">
        <v>516</v>
      </c>
      <c r="CJ131" t="s">
        <v>449</v>
      </c>
      <c r="CR131" t="s">
        <v>450</v>
      </c>
      <c r="CS131" t="s">
        <v>87</v>
      </c>
      <c r="CY131" s="24" t="s">
        <v>883</v>
      </c>
    </row>
    <row r="132" spans="1:103" x14ac:dyDescent="0.35">
      <c r="A132">
        <v>42</v>
      </c>
      <c r="B132" s="1">
        <v>112</v>
      </c>
      <c r="C132" t="s">
        <v>127</v>
      </c>
      <c r="D132">
        <v>2020</v>
      </c>
      <c r="E132" t="s">
        <v>475</v>
      </c>
      <c r="G132" t="s">
        <v>669</v>
      </c>
      <c r="H132">
        <v>2</v>
      </c>
      <c r="I132" t="s">
        <v>69</v>
      </c>
      <c r="J132">
        <v>26.173999999999999</v>
      </c>
      <c r="K132">
        <v>-81.789000000000001</v>
      </c>
      <c r="O132" t="s">
        <v>80</v>
      </c>
      <c r="R132" t="s">
        <v>670</v>
      </c>
      <c r="S132" s="24" t="s">
        <v>82</v>
      </c>
      <c r="T132" t="s">
        <v>354</v>
      </c>
      <c r="V132" t="s">
        <v>112</v>
      </c>
      <c r="W132" s="30" t="s">
        <v>669</v>
      </c>
      <c r="Y132" t="s">
        <v>87</v>
      </c>
      <c r="Z132" s="22"/>
      <c r="AA132" s="22"/>
      <c r="AQ132" t="s">
        <v>88</v>
      </c>
      <c r="AR132" t="s">
        <v>88</v>
      </c>
      <c r="AS132" t="s">
        <v>88</v>
      </c>
      <c r="AV132" t="s">
        <v>378</v>
      </c>
      <c r="AW132" s="30" t="s">
        <v>669</v>
      </c>
      <c r="AX132" t="s">
        <v>452</v>
      </c>
      <c r="BG132">
        <v>4.2300000000000004</v>
      </c>
      <c r="BP132">
        <v>46000</v>
      </c>
      <c r="BQ132">
        <v>3139</v>
      </c>
      <c r="BV132">
        <v>0.15</v>
      </c>
      <c r="BW132">
        <v>1.3</v>
      </c>
      <c r="BX132" t="s">
        <v>671</v>
      </c>
      <c r="CH132" t="s">
        <v>104</v>
      </c>
      <c r="CT132">
        <v>9.9</v>
      </c>
      <c r="CY132" s="24"/>
    </row>
    <row r="133" spans="1:103" x14ac:dyDescent="0.35">
      <c r="A133">
        <v>55</v>
      </c>
      <c r="B133" s="1">
        <v>116</v>
      </c>
      <c r="C133" t="s">
        <v>134</v>
      </c>
      <c r="D133">
        <v>2017</v>
      </c>
      <c r="E133" t="s">
        <v>520</v>
      </c>
      <c r="G133" t="s">
        <v>216</v>
      </c>
      <c r="H133">
        <v>1</v>
      </c>
      <c r="I133" t="s">
        <v>196</v>
      </c>
      <c r="J133">
        <v>39.363999999999997</v>
      </c>
      <c r="K133">
        <v>-0.34100000000000003</v>
      </c>
      <c r="N133">
        <v>200</v>
      </c>
      <c r="O133" t="s">
        <v>521</v>
      </c>
      <c r="R133" t="s">
        <v>522</v>
      </c>
      <c r="T133" t="s">
        <v>551</v>
      </c>
      <c r="V133" t="s">
        <v>112</v>
      </c>
      <c r="W133" t="s">
        <v>216</v>
      </c>
      <c r="Y133" t="s">
        <v>87</v>
      </c>
      <c r="Z133" s="22">
        <v>0.33700000000000002</v>
      </c>
      <c r="AA133" s="22">
        <v>0.26200000000000001</v>
      </c>
      <c r="AB133" s="34">
        <v>22.6</v>
      </c>
      <c r="AC133" t="s">
        <v>277</v>
      </c>
      <c r="AD133">
        <v>0.18</v>
      </c>
      <c r="AE133">
        <v>0.79800000000000004</v>
      </c>
      <c r="AG133">
        <v>0.153</v>
      </c>
      <c r="AH133">
        <v>0.46800000000000003</v>
      </c>
      <c r="AQ133" t="s">
        <v>88</v>
      </c>
      <c r="AR133" t="s">
        <v>88</v>
      </c>
      <c r="AS133" t="s">
        <v>87</v>
      </c>
      <c r="AV133" t="s">
        <v>552</v>
      </c>
      <c r="AW133" t="s">
        <v>216</v>
      </c>
      <c r="AX133" t="s">
        <v>359</v>
      </c>
      <c r="BD133" t="s">
        <v>87</v>
      </c>
      <c r="BI133">
        <v>3</v>
      </c>
      <c r="BP133">
        <v>49000</v>
      </c>
      <c r="BV133">
        <v>0.15</v>
      </c>
      <c r="BW133">
        <v>0.25</v>
      </c>
      <c r="BY133" t="s">
        <v>96</v>
      </c>
      <c r="CC133">
        <v>223.2</v>
      </c>
      <c r="CD133">
        <v>10.95</v>
      </c>
      <c r="CK133" t="s">
        <v>534</v>
      </c>
      <c r="CO133" t="s">
        <v>88</v>
      </c>
      <c r="CQ133" t="s">
        <v>553</v>
      </c>
      <c r="CU133" t="s">
        <v>88</v>
      </c>
      <c r="CV133" t="s">
        <v>88</v>
      </c>
      <c r="CY133" s="24" t="s">
        <v>876</v>
      </c>
    </row>
    <row r="134" spans="1:103" x14ac:dyDescent="0.35">
      <c r="A134">
        <v>56</v>
      </c>
      <c r="B134" s="1">
        <v>116</v>
      </c>
      <c r="C134" t="s">
        <v>134</v>
      </c>
      <c r="D134">
        <v>2017</v>
      </c>
      <c r="E134" t="s">
        <v>530</v>
      </c>
      <c r="G134" t="s">
        <v>216</v>
      </c>
      <c r="H134">
        <v>1</v>
      </c>
      <c r="I134" t="s">
        <v>196</v>
      </c>
      <c r="J134">
        <v>39.363999999999997</v>
      </c>
      <c r="K134">
        <v>-0.34100000000000003</v>
      </c>
      <c r="N134">
        <v>200</v>
      </c>
      <c r="O134" t="s">
        <v>521</v>
      </c>
      <c r="R134" t="s">
        <v>522</v>
      </c>
      <c r="T134" t="s">
        <v>551</v>
      </c>
      <c r="V134" t="s">
        <v>112</v>
      </c>
      <c r="W134" t="s">
        <v>216</v>
      </c>
      <c r="Y134" t="s">
        <v>87</v>
      </c>
      <c r="Z134" s="22">
        <v>0.33700000000000002</v>
      </c>
      <c r="AA134" s="22">
        <v>0.3</v>
      </c>
      <c r="AB134" s="34">
        <v>10.98</v>
      </c>
      <c r="AC134" t="s">
        <v>277</v>
      </c>
      <c r="AD134">
        <v>0.18</v>
      </c>
      <c r="AE134">
        <v>0.79800000000000004</v>
      </c>
      <c r="AG134">
        <v>0.108</v>
      </c>
      <c r="AH134">
        <v>0.64100000000000001</v>
      </c>
      <c r="AQ134" t="s">
        <v>88</v>
      </c>
      <c r="AR134" t="s">
        <v>88</v>
      </c>
      <c r="AS134" t="s">
        <v>87</v>
      </c>
      <c r="AV134" t="s">
        <v>552</v>
      </c>
      <c r="AW134" t="s">
        <v>216</v>
      </c>
      <c r="AX134" t="s">
        <v>359</v>
      </c>
      <c r="BD134" t="s">
        <v>87</v>
      </c>
      <c r="BI134">
        <v>3.3</v>
      </c>
      <c r="BP134">
        <v>14600</v>
      </c>
      <c r="BV134">
        <v>0.15</v>
      </c>
      <c r="BW134">
        <v>0.25</v>
      </c>
      <c r="BY134" t="s">
        <v>96</v>
      </c>
      <c r="CC134">
        <v>55.2</v>
      </c>
      <c r="CD134">
        <v>29.2</v>
      </c>
      <c r="CK134" t="s">
        <v>534</v>
      </c>
      <c r="CO134" t="s">
        <v>88</v>
      </c>
      <c r="CQ134" t="s">
        <v>553</v>
      </c>
      <c r="CU134" t="s">
        <v>88</v>
      </c>
      <c r="CV134" t="s">
        <v>88</v>
      </c>
      <c r="CY134" s="24" t="s">
        <v>876</v>
      </c>
    </row>
    <row r="135" spans="1:103" x14ac:dyDescent="0.35">
      <c r="A135">
        <v>57</v>
      </c>
      <c r="B135" s="1">
        <v>116</v>
      </c>
      <c r="C135" t="s">
        <v>134</v>
      </c>
      <c r="D135">
        <v>2017</v>
      </c>
      <c r="E135" t="s">
        <v>492</v>
      </c>
      <c r="G135" t="s">
        <v>216</v>
      </c>
      <c r="H135">
        <v>1</v>
      </c>
      <c r="I135" t="s">
        <v>196</v>
      </c>
      <c r="N135">
        <v>200</v>
      </c>
      <c r="O135" t="s">
        <v>521</v>
      </c>
      <c r="R135" t="s">
        <v>522</v>
      </c>
      <c r="S135" s="24" t="s">
        <v>352</v>
      </c>
      <c r="T135" t="s">
        <v>551</v>
      </c>
      <c r="V135" t="s">
        <v>112</v>
      </c>
      <c r="W135" t="s">
        <v>216</v>
      </c>
      <c r="Y135" t="s">
        <v>87</v>
      </c>
      <c r="Z135" s="22">
        <v>8.7999999999999995E-2</v>
      </c>
      <c r="AA135" s="22">
        <v>0.126</v>
      </c>
      <c r="AB135" s="34">
        <v>-43.18</v>
      </c>
      <c r="AC135" t="s">
        <v>277</v>
      </c>
      <c r="AD135">
        <v>3.5000000000000003E-2</v>
      </c>
      <c r="AE135">
        <v>0.23300000000000001</v>
      </c>
      <c r="AG135">
        <v>5.0999999999999997E-2</v>
      </c>
      <c r="AH135">
        <v>0.46400000000000002</v>
      </c>
      <c r="AQ135" t="s">
        <v>88</v>
      </c>
      <c r="AR135" t="s">
        <v>88</v>
      </c>
      <c r="AS135" t="s">
        <v>87</v>
      </c>
      <c r="AV135" t="s">
        <v>552</v>
      </c>
      <c r="AW135" t="s">
        <v>216</v>
      </c>
      <c r="AX135" t="s">
        <v>359</v>
      </c>
      <c r="BD135" t="s">
        <v>87</v>
      </c>
      <c r="BI135">
        <v>-2.19</v>
      </c>
      <c r="BP135">
        <v>48000</v>
      </c>
      <c r="BV135">
        <v>0.25</v>
      </c>
      <c r="BW135">
        <v>0.4</v>
      </c>
      <c r="BY135" t="s">
        <v>96</v>
      </c>
      <c r="CC135">
        <v>170.4</v>
      </c>
      <c r="CD135">
        <v>17.52</v>
      </c>
      <c r="CK135" t="s">
        <v>534</v>
      </c>
      <c r="CO135" t="s">
        <v>88</v>
      </c>
      <c r="CQ135" t="s">
        <v>553</v>
      </c>
      <c r="CU135" t="s">
        <v>88</v>
      </c>
      <c r="CV135" t="s">
        <v>88</v>
      </c>
      <c r="CY135" s="24" t="s">
        <v>876</v>
      </c>
    </row>
    <row r="136" spans="1:103" x14ac:dyDescent="0.35">
      <c r="A136">
        <v>58</v>
      </c>
      <c r="B136" s="1">
        <v>116</v>
      </c>
      <c r="C136" t="s">
        <v>134</v>
      </c>
      <c r="D136">
        <v>2017</v>
      </c>
      <c r="E136" t="s">
        <v>532</v>
      </c>
      <c r="G136" t="s">
        <v>216</v>
      </c>
      <c r="H136">
        <v>1</v>
      </c>
      <c r="I136" t="s">
        <v>196</v>
      </c>
      <c r="N136">
        <v>200</v>
      </c>
      <c r="O136" t="s">
        <v>521</v>
      </c>
      <c r="R136" t="s">
        <v>522</v>
      </c>
      <c r="S136" s="24" t="s">
        <v>352</v>
      </c>
      <c r="T136" t="s">
        <v>551</v>
      </c>
      <c r="V136" t="s">
        <v>112</v>
      </c>
      <c r="W136" t="s">
        <v>216</v>
      </c>
      <c r="Y136" t="s">
        <v>87</v>
      </c>
      <c r="Z136" s="22">
        <v>0.122</v>
      </c>
      <c r="AA136" s="22">
        <v>7.5999999999999998E-2</v>
      </c>
      <c r="AB136" s="34">
        <v>37.700000000000003</v>
      </c>
      <c r="AC136" t="s">
        <v>277</v>
      </c>
      <c r="AD136">
        <v>3.2000000000000001E-2</v>
      </c>
      <c r="AE136">
        <v>0.246</v>
      </c>
      <c r="AG136">
        <v>2.1999999999999999E-2</v>
      </c>
      <c r="AH136">
        <v>0.34899999999999998</v>
      </c>
      <c r="AQ136" t="s">
        <v>88</v>
      </c>
      <c r="AR136" t="s">
        <v>88</v>
      </c>
      <c r="AS136" t="s">
        <v>87</v>
      </c>
      <c r="AV136" t="s">
        <v>552</v>
      </c>
      <c r="AW136" t="s">
        <v>216</v>
      </c>
      <c r="AX136" t="s">
        <v>359</v>
      </c>
      <c r="BD136" t="s">
        <v>87</v>
      </c>
      <c r="BI136">
        <v>7</v>
      </c>
      <c r="BP136">
        <v>26000</v>
      </c>
      <c r="BV136">
        <v>0.45</v>
      </c>
      <c r="BW136">
        <v>0.55000000000000004</v>
      </c>
      <c r="BY136" t="s">
        <v>96</v>
      </c>
      <c r="CC136">
        <v>350.4</v>
      </c>
      <c r="CD136">
        <v>12.05</v>
      </c>
      <c r="CK136" t="s">
        <v>534</v>
      </c>
      <c r="CO136" t="s">
        <v>88</v>
      </c>
      <c r="CQ136" t="s">
        <v>553</v>
      </c>
      <c r="CU136" t="s">
        <v>88</v>
      </c>
      <c r="CV136" t="s">
        <v>88</v>
      </c>
      <c r="CY136" s="24" t="s">
        <v>876</v>
      </c>
    </row>
    <row r="137" spans="1:103" x14ac:dyDescent="0.35">
      <c r="A137">
        <v>59</v>
      </c>
      <c r="B137" s="1">
        <v>116</v>
      </c>
      <c r="C137" t="s">
        <v>134</v>
      </c>
      <c r="D137">
        <v>2017</v>
      </c>
      <c r="E137" t="s">
        <v>533</v>
      </c>
      <c r="G137" t="s">
        <v>216</v>
      </c>
      <c r="H137">
        <v>1</v>
      </c>
      <c r="I137" t="s">
        <v>196</v>
      </c>
      <c r="N137">
        <v>200</v>
      </c>
      <c r="O137" t="s">
        <v>521</v>
      </c>
      <c r="R137" t="s">
        <v>522</v>
      </c>
      <c r="S137" s="24" t="s">
        <v>352</v>
      </c>
      <c r="T137" t="s">
        <v>551</v>
      </c>
      <c r="V137" t="s">
        <v>112</v>
      </c>
      <c r="W137" t="s">
        <v>216</v>
      </c>
      <c r="Y137" t="s">
        <v>87</v>
      </c>
      <c r="Z137" s="22">
        <v>0.122</v>
      </c>
      <c r="AA137" s="22">
        <v>8.7999999999999995E-2</v>
      </c>
      <c r="AB137" s="34">
        <v>27.87</v>
      </c>
      <c r="AC137" t="s">
        <v>277</v>
      </c>
      <c r="AD137">
        <v>3.2000000000000001E-2</v>
      </c>
      <c r="AE137">
        <v>0.246</v>
      </c>
      <c r="AG137">
        <v>2.8000000000000001E-2</v>
      </c>
      <c r="AH137">
        <v>0.186</v>
      </c>
      <c r="AQ137" t="s">
        <v>88</v>
      </c>
      <c r="AR137" t="s">
        <v>88</v>
      </c>
      <c r="AS137" t="s">
        <v>87</v>
      </c>
      <c r="AV137" t="s">
        <v>552</v>
      </c>
      <c r="AW137" t="s">
        <v>216</v>
      </c>
      <c r="AX137" t="s">
        <v>359</v>
      </c>
      <c r="BD137" t="s">
        <v>87</v>
      </c>
      <c r="BI137">
        <v>1.5</v>
      </c>
      <c r="BP137">
        <v>25200</v>
      </c>
      <c r="BV137">
        <v>0.5</v>
      </c>
      <c r="BW137">
        <v>0.55000000000000004</v>
      </c>
      <c r="BY137" t="s">
        <v>96</v>
      </c>
      <c r="CC137">
        <v>559.20000000000005</v>
      </c>
      <c r="CD137">
        <v>8.76</v>
      </c>
      <c r="CK137" t="s">
        <v>534</v>
      </c>
      <c r="CO137" t="s">
        <v>88</v>
      </c>
      <c r="CQ137" t="s">
        <v>553</v>
      </c>
      <c r="CU137" t="s">
        <v>88</v>
      </c>
      <c r="CV137" t="s">
        <v>88</v>
      </c>
      <c r="CY137" s="24" t="s">
        <v>876</v>
      </c>
    </row>
    <row r="138" spans="1:103" x14ac:dyDescent="0.35">
      <c r="A138">
        <v>65</v>
      </c>
      <c r="B138" s="1">
        <v>121</v>
      </c>
      <c r="C138" t="s">
        <v>164</v>
      </c>
      <c r="D138">
        <v>2016</v>
      </c>
      <c r="E138" s="26" t="s">
        <v>491</v>
      </c>
      <c r="G138" t="s">
        <v>421</v>
      </c>
      <c r="H138">
        <v>1</v>
      </c>
      <c r="I138" t="s">
        <v>375</v>
      </c>
      <c r="M138">
        <v>13.3</v>
      </c>
      <c r="N138">
        <v>565</v>
      </c>
      <c r="O138" t="s">
        <v>310</v>
      </c>
      <c r="R138" t="s">
        <v>206</v>
      </c>
      <c r="T138" t="s">
        <v>245</v>
      </c>
      <c r="V138" t="s">
        <v>112</v>
      </c>
      <c r="W138" t="s">
        <v>421</v>
      </c>
      <c r="Y138" t="s">
        <v>87</v>
      </c>
      <c r="Z138" s="22">
        <v>0.05</v>
      </c>
      <c r="AA138" s="22"/>
      <c r="AC138" t="s">
        <v>277</v>
      </c>
      <c r="AQ138" t="s">
        <v>88</v>
      </c>
      <c r="AR138" t="s">
        <v>88</v>
      </c>
      <c r="AS138" t="s">
        <v>87</v>
      </c>
      <c r="AW138" t="s">
        <v>421</v>
      </c>
      <c r="AX138" s="24" t="s">
        <v>518</v>
      </c>
      <c r="AY138">
        <v>7310000</v>
      </c>
      <c r="BA138">
        <v>5970000</v>
      </c>
      <c r="BG138">
        <v>0.2</v>
      </c>
      <c r="BP138">
        <v>599000</v>
      </c>
      <c r="BQ138">
        <v>76000</v>
      </c>
      <c r="BR138">
        <v>0.08</v>
      </c>
      <c r="BU138">
        <v>1.5</v>
      </c>
      <c r="BY138" t="s">
        <v>95</v>
      </c>
      <c r="BZ138" t="s">
        <v>96</v>
      </c>
      <c r="CC138">
        <v>1315.2</v>
      </c>
      <c r="CH138" t="s">
        <v>104</v>
      </c>
      <c r="CI138" t="s">
        <v>516</v>
      </c>
      <c r="CK138" t="s">
        <v>515</v>
      </c>
      <c r="CQ138" t="s">
        <v>519</v>
      </c>
      <c r="CY138" s="24"/>
    </row>
    <row r="139" spans="1:103" x14ac:dyDescent="0.35">
      <c r="A139">
        <v>66</v>
      </c>
      <c r="B139" s="1">
        <v>121</v>
      </c>
      <c r="C139" t="s">
        <v>164</v>
      </c>
      <c r="D139">
        <v>2016</v>
      </c>
      <c r="E139" s="27" t="s">
        <v>509</v>
      </c>
      <c r="G139" t="s">
        <v>421</v>
      </c>
      <c r="H139">
        <v>1</v>
      </c>
      <c r="I139" t="s">
        <v>375</v>
      </c>
      <c r="M139">
        <v>13.3</v>
      </c>
      <c r="N139">
        <v>565</v>
      </c>
      <c r="O139" t="s">
        <v>310</v>
      </c>
      <c r="R139" t="s">
        <v>206</v>
      </c>
      <c r="T139" t="s">
        <v>245</v>
      </c>
      <c r="V139" t="s">
        <v>112</v>
      </c>
      <c r="W139" t="s">
        <v>421</v>
      </c>
      <c r="Y139" t="s">
        <v>87</v>
      </c>
      <c r="Z139" s="22">
        <v>0.05</v>
      </c>
      <c r="AA139" s="22"/>
      <c r="AC139" t="s">
        <v>277</v>
      </c>
      <c r="AQ139" t="s">
        <v>88</v>
      </c>
      <c r="AR139" t="s">
        <v>88</v>
      </c>
      <c r="AS139" t="s">
        <v>87</v>
      </c>
      <c r="AW139" t="s">
        <v>421</v>
      </c>
      <c r="AX139" s="24" t="s">
        <v>518</v>
      </c>
      <c r="AY139">
        <v>7310000</v>
      </c>
      <c r="BG139">
        <v>0.6</v>
      </c>
      <c r="BP139">
        <v>204000</v>
      </c>
      <c r="BY139" t="s">
        <v>95</v>
      </c>
      <c r="BZ139" t="s">
        <v>96</v>
      </c>
      <c r="CC139">
        <v>364.8</v>
      </c>
      <c r="CE139">
        <v>6.9</v>
      </c>
      <c r="CH139" t="s">
        <v>104</v>
      </c>
      <c r="CI139" t="s">
        <v>516</v>
      </c>
      <c r="CK139" t="s">
        <v>515</v>
      </c>
      <c r="CQ139" t="s">
        <v>519</v>
      </c>
      <c r="CY139" s="24"/>
    </row>
    <row r="140" spans="1:103" x14ac:dyDescent="0.35">
      <c r="A140">
        <v>67</v>
      </c>
      <c r="B140" s="1">
        <v>121</v>
      </c>
      <c r="C140" t="s">
        <v>164</v>
      </c>
      <c r="D140">
        <v>2016</v>
      </c>
      <c r="E140" s="27" t="s">
        <v>510</v>
      </c>
      <c r="G140" t="s">
        <v>421</v>
      </c>
      <c r="H140">
        <v>1</v>
      </c>
      <c r="I140" t="s">
        <v>375</v>
      </c>
      <c r="M140">
        <v>13.3</v>
      </c>
      <c r="N140">
        <v>565</v>
      </c>
      <c r="O140" t="s">
        <v>310</v>
      </c>
      <c r="R140" t="s">
        <v>206</v>
      </c>
      <c r="T140" t="s">
        <v>245</v>
      </c>
      <c r="V140" t="s">
        <v>112</v>
      </c>
      <c r="W140" t="s">
        <v>421</v>
      </c>
      <c r="Y140" t="s">
        <v>87</v>
      </c>
      <c r="Z140" s="22"/>
      <c r="AA140" s="22">
        <v>2.3E-2</v>
      </c>
      <c r="AC140" t="s">
        <v>277</v>
      </c>
      <c r="AQ140" t="s">
        <v>88</v>
      </c>
      <c r="AR140" t="s">
        <v>88</v>
      </c>
      <c r="AS140" t="s">
        <v>87</v>
      </c>
      <c r="AW140" t="s">
        <v>421</v>
      </c>
      <c r="AX140" s="24" t="s">
        <v>518</v>
      </c>
      <c r="BG140">
        <v>0.8</v>
      </c>
      <c r="BP140">
        <v>136000</v>
      </c>
      <c r="BY140" t="s">
        <v>95</v>
      </c>
      <c r="BZ140" t="s">
        <v>96</v>
      </c>
      <c r="CC140">
        <v>261.60000000000002</v>
      </c>
      <c r="CE140">
        <v>5.0999999999999996</v>
      </c>
      <c r="CH140" t="s">
        <v>104</v>
      </c>
      <c r="CI140" t="s">
        <v>516</v>
      </c>
      <c r="CK140" t="s">
        <v>515</v>
      </c>
      <c r="CQ140" t="s">
        <v>519</v>
      </c>
      <c r="CY140" s="24"/>
    </row>
    <row r="141" spans="1:103" x14ac:dyDescent="0.35">
      <c r="A141">
        <v>68</v>
      </c>
      <c r="B141" s="1">
        <v>121</v>
      </c>
      <c r="C141" t="s">
        <v>164</v>
      </c>
      <c r="D141">
        <v>2016</v>
      </c>
      <c r="E141" s="27" t="s">
        <v>511</v>
      </c>
      <c r="G141" t="s">
        <v>421</v>
      </c>
      <c r="H141">
        <v>1</v>
      </c>
      <c r="I141" t="s">
        <v>375</v>
      </c>
      <c r="M141">
        <v>13.3</v>
      </c>
      <c r="N141">
        <v>565</v>
      </c>
      <c r="O141" t="s">
        <v>310</v>
      </c>
      <c r="R141" t="s">
        <v>206</v>
      </c>
      <c r="T141" t="s">
        <v>245</v>
      </c>
      <c r="V141" t="s">
        <v>112</v>
      </c>
      <c r="W141" t="s">
        <v>421</v>
      </c>
      <c r="Y141" t="s">
        <v>87</v>
      </c>
      <c r="Z141" s="22"/>
      <c r="AA141" s="22"/>
      <c r="AC141" t="s">
        <v>277</v>
      </c>
      <c r="AQ141" t="s">
        <v>88</v>
      </c>
      <c r="AR141" t="s">
        <v>88</v>
      </c>
      <c r="AS141" t="s">
        <v>87</v>
      </c>
      <c r="AW141" t="s">
        <v>421</v>
      </c>
      <c r="AX141" s="24" t="s">
        <v>518</v>
      </c>
      <c r="BG141">
        <v>-0.3</v>
      </c>
      <c r="BP141">
        <v>60000</v>
      </c>
      <c r="BY141" t="s">
        <v>95</v>
      </c>
      <c r="BZ141" t="s">
        <v>96</v>
      </c>
      <c r="CC141">
        <v>120</v>
      </c>
      <c r="CE141">
        <v>2.9</v>
      </c>
      <c r="CH141" t="s">
        <v>104</v>
      </c>
      <c r="CI141" t="s">
        <v>516</v>
      </c>
      <c r="CK141" t="s">
        <v>515</v>
      </c>
      <c r="CQ141" t="s">
        <v>519</v>
      </c>
      <c r="CY141" s="24"/>
    </row>
    <row r="142" spans="1:103" x14ac:dyDescent="0.35">
      <c r="A142">
        <v>69</v>
      </c>
      <c r="B142" s="1">
        <v>121</v>
      </c>
      <c r="C142" t="s">
        <v>164</v>
      </c>
      <c r="D142">
        <v>2016</v>
      </c>
      <c r="E142" s="27" t="s">
        <v>512</v>
      </c>
      <c r="G142" t="s">
        <v>421</v>
      </c>
      <c r="H142">
        <v>1</v>
      </c>
      <c r="I142" t="s">
        <v>375</v>
      </c>
      <c r="M142">
        <v>13.3</v>
      </c>
      <c r="N142">
        <v>565</v>
      </c>
      <c r="O142" t="s">
        <v>310</v>
      </c>
      <c r="R142" t="s">
        <v>206</v>
      </c>
      <c r="T142" t="s">
        <v>245</v>
      </c>
      <c r="V142" t="s">
        <v>112</v>
      </c>
      <c r="W142" t="s">
        <v>421</v>
      </c>
      <c r="Y142" t="s">
        <v>87</v>
      </c>
      <c r="Z142" s="22"/>
      <c r="AA142" s="22"/>
      <c r="AC142" t="s">
        <v>277</v>
      </c>
      <c r="AQ142" t="s">
        <v>88</v>
      </c>
      <c r="AR142" t="s">
        <v>88</v>
      </c>
      <c r="AS142" t="s">
        <v>87</v>
      </c>
      <c r="AW142" t="s">
        <v>421</v>
      </c>
      <c r="AX142" s="24" t="s">
        <v>518</v>
      </c>
      <c r="BG142">
        <v>0.2</v>
      </c>
      <c r="BP142">
        <v>140000</v>
      </c>
      <c r="BY142" t="s">
        <v>95</v>
      </c>
      <c r="BZ142" t="s">
        <v>96</v>
      </c>
      <c r="CC142">
        <v>288</v>
      </c>
      <c r="CE142">
        <v>11</v>
      </c>
      <c r="CH142" t="s">
        <v>104</v>
      </c>
      <c r="CI142" t="s">
        <v>516</v>
      </c>
      <c r="CK142" t="s">
        <v>515</v>
      </c>
      <c r="CQ142" t="s">
        <v>519</v>
      </c>
      <c r="CY142" s="24"/>
    </row>
    <row r="143" spans="1:103" x14ac:dyDescent="0.35">
      <c r="A143">
        <v>70</v>
      </c>
      <c r="B143" s="1">
        <v>121</v>
      </c>
      <c r="C143" t="s">
        <v>164</v>
      </c>
      <c r="D143">
        <v>2016</v>
      </c>
      <c r="E143" s="27" t="s">
        <v>513</v>
      </c>
      <c r="G143" t="s">
        <v>421</v>
      </c>
      <c r="H143">
        <v>1</v>
      </c>
      <c r="I143" t="s">
        <v>375</v>
      </c>
      <c r="M143">
        <v>13.3</v>
      </c>
      <c r="N143">
        <v>565</v>
      </c>
      <c r="O143" t="s">
        <v>310</v>
      </c>
      <c r="R143" t="s">
        <v>206</v>
      </c>
      <c r="T143" t="s">
        <v>245</v>
      </c>
      <c r="V143" t="s">
        <v>112</v>
      </c>
      <c r="W143" t="s">
        <v>421</v>
      </c>
      <c r="Y143" t="s">
        <v>87</v>
      </c>
      <c r="Z143" s="22"/>
      <c r="AA143" s="22"/>
      <c r="AC143" t="s">
        <v>277</v>
      </c>
      <c r="AQ143" t="s">
        <v>88</v>
      </c>
      <c r="AR143" t="s">
        <v>88</v>
      </c>
      <c r="AS143" t="s">
        <v>87</v>
      </c>
      <c r="AW143" t="s">
        <v>421</v>
      </c>
      <c r="AX143" s="24" t="s">
        <v>518</v>
      </c>
      <c r="BA143">
        <v>5970000</v>
      </c>
      <c r="BG143">
        <v>-0.1</v>
      </c>
      <c r="BP143">
        <v>59000</v>
      </c>
      <c r="BY143" t="s">
        <v>95</v>
      </c>
      <c r="BZ143" t="s">
        <v>96</v>
      </c>
      <c r="CC143">
        <v>127.2</v>
      </c>
      <c r="CE143">
        <v>4.2</v>
      </c>
      <c r="CH143" t="s">
        <v>104</v>
      </c>
      <c r="CI143" t="s">
        <v>516</v>
      </c>
      <c r="CK143" t="s">
        <v>515</v>
      </c>
      <c r="CQ143" t="s">
        <v>519</v>
      </c>
      <c r="CY143" s="24"/>
    </row>
    <row r="144" spans="1:103" x14ac:dyDescent="0.35">
      <c r="A144">
        <v>72</v>
      </c>
      <c r="B144" s="1">
        <v>124</v>
      </c>
      <c r="C144" t="s">
        <v>139</v>
      </c>
      <c r="D144">
        <v>2017</v>
      </c>
      <c r="E144" t="s">
        <v>494</v>
      </c>
      <c r="H144">
        <v>3</v>
      </c>
      <c r="I144" t="s">
        <v>197</v>
      </c>
      <c r="R144" t="s">
        <v>220</v>
      </c>
      <c r="Y144" t="s">
        <v>87</v>
      </c>
      <c r="Z144" s="22">
        <v>0.182</v>
      </c>
      <c r="AA144" s="22"/>
      <c r="AC144" t="s">
        <v>107</v>
      </c>
      <c r="AD144">
        <v>2.5000000000000001E-2</v>
      </c>
      <c r="AE144">
        <v>0.66300000000000003</v>
      </c>
      <c r="AQ144" t="s">
        <v>87</v>
      </c>
      <c r="AR144" t="s">
        <v>87</v>
      </c>
      <c r="AS144" t="s">
        <v>87</v>
      </c>
      <c r="AX144" t="s">
        <v>536</v>
      </c>
      <c r="BC144" t="s">
        <v>87</v>
      </c>
      <c r="BD144" t="s">
        <v>87</v>
      </c>
      <c r="BE144">
        <v>62.2</v>
      </c>
      <c r="BH144" s="28" t="s">
        <v>828</v>
      </c>
      <c r="BP144">
        <v>4100</v>
      </c>
      <c r="BR144">
        <v>0.06</v>
      </c>
      <c r="BV144">
        <v>0.9</v>
      </c>
      <c r="CD144">
        <v>391</v>
      </c>
      <c r="CE144">
        <v>8</v>
      </c>
      <c r="CY144" s="24"/>
    </row>
    <row r="145" spans="1:103" x14ac:dyDescent="0.35">
      <c r="A145">
        <v>73</v>
      </c>
      <c r="B145" s="1">
        <v>124</v>
      </c>
      <c r="C145" t="s">
        <v>139</v>
      </c>
      <c r="D145">
        <v>2017</v>
      </c>
      <c r="E145" t="s">
        <v>495</v>
      </c>
      <c r="H145">
        <v>6</v>
      </c>
      <c r="I145" t="s">
        <v>197</v>
      </c>
      <c r="R145" t="s">
        <v>220</v>
      </c>
      <c r="Y145" t="s">
        <v>87</v>
      </c>
      <c r="Z145" s="22">
        <v>9.4E-2</v>
      </c>
      <c r="AA145" s="22"/>
      <c r="AC145" t="s">
        <v>107</v>
      </c>
      <c r="AD145">
        <v>0.04</v>
      </c>
      <c r="AE145">
        <v>0.65</v>
      </c>
      <c r="AQ145" t="s">
        <v>87</v>
      </c>
      <c r="AR145" t="s">
        <v>87</v>
      </c>
      <c r="AS145" t="s">
        <v>87</v>
      </c>
      <c r="AX145" t="s">
        <v>827</v>
      </c>
      <c r="BC145" t="s">
        <v>87</v>
      </c>
      <c r="BD145" t="s">
        <v>87</v>
      </c>
      <c r="BE145">
        <v>40.5</v>
      </c>
      <c r="BH145" s="28" t="s">
        <v>829</v>
      </c>
      <c r="BP145">
        <v>6500</v>
      </c>
      <c r="BR145">
        <v>7.0000000000000007E-2</v>
      </c>
      <c r="BV145">
        <v>1</v>
      </c>
      <c r="CD145">
        <v>604</v>
      </c>
      <c r="CE145">
        <v>8</v>
      </c>
      <c r="CY145" s="24"/>
    </row>
    <row r="146" spans="1:103" x14ac:dyDescent="0.35">
      <c r="A146">
        <v>74</v>
      </c>
      <c r="B146" s="1">
        <v>124</v>
      </c>
      <c r="C146" t="s">
        <v>139</v>
      </c>
      <c r="D146">
        <v>2017</v>
      </c>
      <c r="E146" t="s">
        <v>496</v>
      </c>
      <c r="H146">
        <v>9</v>
      </c>
      <c r="I146" t="s">
        <v>197</v>
      </c>
      <c r="R146" t="s">
        <v>220</v>
      </c>
      <c r="Y146" t="s">
        <v>87</v>
      </c>
      <c r="Z146" s="22">
        <v>0.14000000000000001</v>
      </c>
      <c r="AA146" s="22"/>
      <c r="AC146" t="s">
        <v>107</v>
      </c>
      <c r="AD146">
        <v>0.05</v>
      </c>
      <c r="AE146">
        <v>0.67</v>
      </c>
      <c r="AQ146" t="s">
        <v>87</v>
      </c>
      <c r="AR146" t="s">
        <v>87</v>
      </c>
      <c r="AS146" t="s">
        <v>87</v>
      </c>
      <c r="AX146" t="s">
        <v>827</v>
      </c>
      <c r="BC146" t="s">
        <v>87</v>
      </c>
      <c r="BD146" t="s">
        <v>87</v>
      </c>
      <c r="BE146">
        <v>16.3</v>
      </c>
      <c r="BH146" s="28" t="s">
        <v>830</v>
      </c>
      <c r="BP146">
        <v>7500</v>
      </c>
      <c r="BR146">
        <v>0.2</v>
      </c>
      <c r="BV146">
        <v>1</v>
      </c>
      <c r="CD146">
        <v>150</v>
      </c>
      <c r="CE146">
        <v>4</v>
      </c>
      <c r="CY146" s="24"/>
    </row>
    <row r="147" spans="1:103" x14ac:dyDescent="0.35">
      <c r="A147">
        <v>75</v>
      </c>
      <c r="B147" s="1">
        <v>124</v>
      </c>
      <c r="C147" t="s">
        <v>139</v>
      </c>
      <c r="D147">
        <v>2017</v>
      </c>
      <c r="E147" t="s">
        <v>497</v>
      </c>
      <c r="H147">
        <v>2</v>
      </c>
      <c r="I147" t="s">
        <v>197</v>
      </c>
      <c r="R147" t="s">
        <v>220</v>
      </c>
      <c r="Y147" t="s">
        <v>87</v>
      </c>
      <c r="Z147" s="22">
        <v>0.123</v>
      </c>
      <c r="AA147" s="22"/>
      <c r="AC147" t="s">
        <v>107</v>
      </c>
      <c r="AE147">
        <v>2.0950000000000002</v>
      </c>
      <c r="AQ147" t="s">
        <v>87</v>
      </c>
      <c r="AR147" t="s">
        <v>87</v>
      </c>
      <c r="AS147" t="s">
        <v>87</v>
      </c>
      <c r="AX147" t="s">
        <v>359</v>
      </c>
      <c r="BC147" t="s">
        <v>87</v>
      </c>
      <c r="BD147" t="s">
        <v>87</v>
      </c>
      <c r="BE147">
        <v>18.2</v>
      </c>
      <c r="BH147" s="28" t="s">
        <v>831</v>
      </c>
      <c r="BP147">
        <v>2800</v>
      </c>
      <c r="BR147">
        <v>0.1</v>
      </c>
      <c r="BV147">
        <v>0.77</v>
      </c>
      <c r="CD147">
        <v>277</v>
      </c>
      <c r="CE147">
        <v>15</v>
      </c>
      <c r="CY147" s="24"/>
    </row>
    <row r="148" spans="1:103" x14ac:dyDescent="0.35">
      <c r="A148">
        <v>76</v>
      </c>
      <c r="B148" s="1">
        <v>124</v>
      </c>
      <c r="C148" t="s">
        <v>139</v>
      </c>
      <c r="D148">
        <v>2017</v>
      </c>
      <c r="E148" t="s">
        <v>498</v>
      </c>
      <c r="H148">
        <v>4</v>
      </c>
      <c r="I148" t="s">
        <v>197</v>
      </c>
      <c r="R148" t="s">
        <v>220</v>
      </c>
      <c r="Y148" t="s">
        <v>87</v>
      </c>
      <c r="Z148" s="22">
        <v>0.14399999999999999</v>
      </c>
      <c r="AA148" s="22"/>
      <c r="AC148" t="s">
        <v>107</v>
      </c>
      <c r="AD148">
        <v>7.8E-2</v>
      </c>
      <c r="AE148">
        <v>1.0469999999999999</v>
      </c>
      <c r="AQ148" t="s">
        <v>87</v>
      </c>
      <c r="AR148" t="s">
        <v>87</v>
      </c>
      <c r="AS148" t="s">
        <v>87</v>
      </c>
      <c r="AX148" t="s">
        <v>523</v>
      </c>
      <c r="BC148" t="s">
        <v>87</v>
      </c>
      <c r="BD148" t="s">
        <v>87</v>
      </c>
      <c r="BE148">
        <v>11.9</v>
      </c>
      <c r="BH148" s="28" t="s">
        <v>832</v>
      </c>
      <c r="BP148">
        <v>7800</v>
      </c>
      <c r="BR148">
        <v>0.33</v>
      </c>
      <c r="BV148">
        <v>0.75</v>
      </c>
      <c r="CD148">
        <v>77</v>
      </c>
      <c r="CE148">
        <v>12</v>
      </c>
      <c r="CY148" s="24"/>
    </row>
    <row r="149" spans="1:103" x14ac:dyDescent="0.35">
      <c r="A149">
        <v>77</v>
      </c>
      <c r="B149" s="1">
        <v>124</v>
      </c>
      <c r="C149" t="s">
        <v>139</v>
      </c>
      <c r="D149">
        <v>2017</v>
      </c>
      <c r="E149" t="s">
        <v>499</v>
      </c>
      <c r="H149">
        <v>1</v>
      </c>
      <c r="I149" t="s">
        <v>197</v>
      </c>
      <c r="R149" t="s">
        <v>220</v>
      </c>
      <c r="Y149" t="s">
        <v>87</v>
      </c>
      <c r="Z149" s="22">
        <v>2.1999999999999999E-2</v>
      </c>
      <c r="AA149" s="22"/>
      <c r="AC149" t="s">
        <v>107</v>
      </c>
      <c r="AD149">
        <v>2.1000000000000001E-2</v>
      </c>
      <c r="AE149">
        <v>0.122</v>
      </c>
      <c r="AQ149" t="s">
        <v>87</v>
      </c>
      <c r="AR149" t="s">
        <v>87</v>
      </c>
      <c r="AS149" t="s">
        <v>87</v>
      </c>
      <c r="AX149" t="s">
        <v>536</v>
      </c>
      <c r="BC149" t="s">
        <v>87</v>
      </c>
      <c r="BD149" t="s">
        <v>87</v>
      </c>
      <c r="BE149">
        <v>4.4000000000000004</v>
      </c>
      <c r="BH149" s="28" t="s">
        <v>833</v>
      </c>
      <c r="BP149">
        <v>2200</v>
      </c>
      <c r="BR149">
        <v>0.36</v>
      </c>
      <c r="BV149">
        <v>1</v>
      </c>
      <c r="CD149">
        <v>61</v>
      </c>
      <c r="CE149">
        <v>6</v>
      </c>
      <c r="CY149" s="24"/>
    </row>
    <row r="150" spans="1:103" x14ac:dyDescent="0.35">
      <c r="A150">
        <v>91</v>
      </c>
      <c r="B150" s="1">
        <v>127</v>
      </c>
      <c r="C150" t="s">
        <v>165</v>
      </c>
      <c r="D150">
        <v>2018</v>
      </c>
      <c r="E150" t="s">
        <v>489</v>
      </c>
      <c r="G150" t="s">
        <v>427</v>
      </c>
      <c r="H150">
        <v>1</v>
      </c>
      <c r="I150" t="s">
        <v>207</v>
      </c>
      <c r="J150">
        <v>58.283000000000001</v>
      </c>
      <c r="K150">
        <v>26.716999999999999</v>
      </c>
      <c r="M150">
        <v>6.3</v>
      </c>
      <c r="N150">
        <v>726</v>
      </c>
      <c r="O150" t="s">
        <v>267</v>
      </c>
      <c r="R150" t="s">
        <v>220</v>
      </c>
      <c r="S150" s="24" t="s">
        <v>82</v>
      </c>
      <c r="T150" t="s">
        <v>354</v>
      </c>
      <c r="U150">
        <v>132</v>
      </c>
      <c r="V150" t="s">
        <v>112</v>
      </c>
      <c r="W150" t="s">
        <v>427</v>
      </c>
      <c r="Y150" t="s">
        <v>87</v>
      </c>
      <c r="Z150" s="22">
        <v>0.17</v>
      </c>
      <c r="AA150" s="22">
        <v>0.12</v>
      </c>
      <c r="AB150">
        <v>20.5</v>
      </c>
      <c r="AC150" s="22"/>
      <c r="AD150" s="22"/>
      <c r="AE150" s="22"/>
      <c r="AJ150">
        <v>5.5E-2</v>
      </c>
      <c r="AL150">
        <v>16.3</v>
      </c>
      <c r="AQ150" t="s">
        <v>88</v>
      </c>
      <c r="AR150" t="s">
        <v>88</v>
      </c>
      <c r="AS150" t="s">
        <v>87</v>
      </c>
      <c r="AV150" t="s">
        <v>354</v>
      </c>
      <c r="AW150" t="s">
        <v>427</v>
      </c>
      <c r="AX150" s="24" t="s">
        <v>359</v>
      </c>
      <c r="BE150">
        <v>1.48</v>
      </c>
      <c r="BF150" s="36">
        <v>0.83</v>
      </c>
      <c r="BG150">
        <v>0.65</v>
      </c>
      <c r="BH150" s="36">
        <v>43.92</v>
      </c>
      <c r="BP150">
        <v>4500</v>
      </c>
      <c r="BQ150">
        <v>220</v>
      </c>
      <c r="BR150">
        <v>0.5</v>
      </c>
      <c r="BV150">
        <v>0.4</v>
      </c>
      <c r="BW150">
        <v>1.3</v>
      </c>
      <c r="BX150" t="s">
        <v>686</v>
      </c>
      <c r="BY150" t="s">
        <v>96</v>
      </c>
      <c r="CA150">
        <v>30.75</v>
      </c>
      <c r="CG150" t="s">
        <v>713</v>
      </c>
      <c r="CH150" t="s">
        <v>104</v>
      </c>
      <c r="CY150" s="24" t="s">
        <v>715</v>
      </c>
    </row>
    <row r="151" spans="1:103" x14ac:dyDescent="0.35">
      <c r="A151">
        <v>118</v>
      </c>
      <c r="B151" s="1">
        <v>132</v>
      </c>
      <c r="C151" t="s">
        <v>166</v>
      </c>
      <c r="D151">
        <v>2018</v>
      </c>
      <c r="E151" t="s">
        <v>488</v>
      </c>
      <c r="G151" t="s">
        <v>373</v>
      </c>
      <c r="H151">
        <v>1</v>
      </c>
      <c r="I151" t="s">
        <v>208</v>
      </c>
      <c r="J151">
        <v>44.573</v>
      </c>
      <c r="K151">
        <v>11.529</v>
      </c>
      <c r="M151">
        <v>13.7</v>
      </c>
      <c r="N151">
        <v>771</v>
      </c>
      <c r="R151" t="s">
        <v>220</v>
      </c>
      <c r="S151" s="24" t="s">
        <v>82</v>
      </c>
      <c r="W151" t="s">
        <v>373</v>
      </c>
      <c r="Y151" t="s">
        <v>87</v>
      </c>
      <c r="Z151" s="37">
        <v>0.1</v>
      </c>
      <c r="AA151" s="37">
        <v>0.4</v>
      </c>
      <c r="AC151" t="s">
        <v>277</v>
      </c>
      <c r="AQ151" t="s">
        <v>88</v>
      </c>
      <c r="AR151" t="s">
        <v>88</v>
      </c>
      <c r="AS151" t="s">
        <v>88</v>
      </c>
      <c r="AW151" t="s">
        <v>373</v>
      </c>
      <c r="BE151" s="36">
        <v>0.32</v>
      </c>
      <c r="BF151" s="36">
        <v>0.56000000000000005</v>
      </c>
      <c r="BG151" s="36">
        <v>-0.24</v>
      </c>
      <c r="BH151" s="36">
        <v>-75</v>
      </c>
      <c r="BJ151">
        <v>-0.9</v>
      </c>
      <c r="BP151">
        <v>3750</v>
      </c>
      <c r="BQ151">
        <v>12.5</v>
      </c>
      <c r="BR151">
        <v>3</v>
      </c>
      <c r="BT151">
        <v>1</v>
      </c>
      <c r="BW151">
        <v>0.4</v>
      </c>
      <c r="BX151" t="s">
        <v>589</v>
      </c>
      <c r="BY151" t="s">
        <v>96</v>
      </c>
      <c r="CG151" t="s">
        <v>591</v>
      </c>
      <c r="CH151" t="s">
        <v>104</v>
      </c>
      <c r="CQ151" t="s">
        <v>588</v>
      </c>
      <c r="CR151" t="s">
        <v>590</v>
      </c>
      <c r="CS151" t="s">
        <v>592</v>
      </c>
      <c r="CY151" s="24" t="s">
        <v>645</v>
      </c>
    </row>
    <row r="152" spans="1:103" x14ac:dyDescent="0.35">
      <c r="A152">
        <v>119</v>
      </c>
      <c r="B152" s="1">
        <v>132</v>
      </c>
      <c r="C152" t="s">
        <v>166</v>
      </c>
      <c r="D152">
        <v>2018</v>
      </c>
      <c r="E152" t="s">
        <v>488</v>
      </c>
      <c r="G152" t="s">
        <v>587</v>
      </c>
      <c r="H152">
        <v>1</v>
      </c>
      <c r="I152" t="s">
        <v>208</v>
      </c>
      <c r="J152">
        <v>44.573</v>
      </c>
      <c r="K152">
        <v>11.529</v>
      </c>
      <c r="M152">
        <v>13.7</v>
      </c>
      <c r="N152">
        <v>771</v>
      </c>
      <c r="R152" t="s">
        <v>220</v>
      </c>
      <c r="S152" s="24" t="s">
        <v>82</v>
      </c>
      <c r="W152" t="s">
        <v>587</v>
      </c>
      <c r="Y152" t="s">
        <v>87</v>
      </c>
      <c r="Z152" s="37">
        <v>0.1</v>
      </c>
      <c r="AA152" s="37">
        <v>0</v>
      </c>
      <c r="AC152" t="s">
        <v>277</v>
      </c>
      <c r="AQ152" t="s">
        <v>88</v>
      </c>
      <c r="AR152" t="s">
        <v>88</v>
      </c>
      <c r="AS152" t="s">
        <v>88</v>
      </c>
      <c r="AW152" t="s">
        <v>587</v>
      </c>
      <c r="BE152" s="36">
        <v>0.37</v>
      </c>
      <c r="BF152" s="36">
        <v>0.19</v>
      </c>
      <c r="BG152" s="36">
        <v>0.18</v>
      </c>
      <c r="BH152">
        <v>49</v>
      </c>
      <c r="BJ152">
        <v>0.7</v>
      </c>
      <c r="BP152">
        <v>3750</v>
      </c>
      <c r="BQ152">
        <v>12.5</v>
      </c>
      <c r="BR152">
        <v>3</v>
      </c>
      <c r="BT152">
        <v>1</v>
      </c>
      <c r="BW152">
        <v>0.4</v>
      </c>
      <c r="BX152" t="s">
        <v>589</v>
      </c>
      <c r="BY152" t="s">
        <v>96</v>
      </c>
      <c r="CG152" t="s">
        <v>591</v>
      </c>
      <c r="CH152" t="s">
        <v>104</v>
      </c>
      <c r="CQ152" t="s">
        <v>588</v>
      </c>
      <c r="CR152" t="s">
        <v>590</v>
      </c>
      <c r="CS152" t="s">
        <v>592</v>
      </c>
      <c r="CY152" s="24" t="s">
        <v>801</v>
      </c>
    </row>
    <row r="153" spans="1:103" x14ac:dyDescent="0.35">
      <c r="A153">
        <v>120</v>
      </c>
      <c r="B153" s="1">
        <v>135</v>
      </c>
      <c r="C153" t="s">
        <v>116</v>
      </c>
      <c r="D153">
        <v>2020</v>
      </c>
      <c r="E153" t="s">
        <v>361</v>
      </c>
      <c r="G153" s="29" t="s">
        <v>358</v>
      </c>
      <c r="H153">
        <v>3</v>
      </c>
      <c r="I153" t="s">
        <v>370</v>
      </c>
      <c r="J153">
        <v>25.945</v>
      </c>
      <c r="K153">
        <v>100.133</v>
      </c>
      <c r="M153">
        <v>15.7</v>
      </c>
      <c r="N153">
        <v>1000</v>
      </c>
      <c r="O153" t="s">
        <v>355</v>
      </c>
      <c r="P153" t="s">
        <v>185</v>
      </c>
      <c r="R153" s="24" t="s">
        <v>220</v>
      </c>
      <c r="S153" s="24" t="s">
        <v>82</v>
      </c>
      <c r="T153" t="s">
        <v>245</v>
      </c>
      <c r="V153" t="s">
        <v>112</v>
      </c>
      <c r="W153" s="29" t="s">
        <v>358</v>
      </c>
      <c r="Y153" t="s">
        <v>87</v>
      </c>
      <c r="Z153" s="22"/>
      <c r="AA153" s="22" t="s">
        <v>360</v>
      </c>
      <c r="AQ153" t="s">
        <v>88</v>
      </c>
      <c r="AR153" t="s">
        <v>88</v>
      </c>
      <c r="AS153" t="s">
        <v>87</v>
      </c>
      <c r="AV153" t="s">
        <v>245</v>
      </c>
      <c r="AW153" s="29" t="s">
        <v>358</v>
      </c>
      <c r="AX153" t="s">
        <v>359</v>
      </c>
      <c r="BD153" t="s">
        <v>87</v>
      </c>
      <c r="BE153" s="23"/>
      <c r="BF153" s="23"/>
      <c r="BG153" s="21">
        <v>47.96</v>
      </c>
      <c r="BH153" s="21">
        <v>52.98</v>
      </c>
      <c r="BP153" s="13">
        <v>69548</v>
      </c>
      <c r="BQ153">
        <v>120</v>
      </c>
      <c r="BR153">
        <v>5.8</v>
      </c>
      <c r="BT153">
        <v>11</v>
      </c>
      <c r="BX153" t="s">
        <v>628</v>
      </c>
      <c r="BY153" t="s">
        <v>356</v>
      </c>
      <c r="CA153" t="s">
        <v>357</v>
      </c>
      <c r="CK153" t="s">
        <v>220</v>
      </c>
      <c r="CY153" s="24"/>
    </row>
    <row r="154" spans="1:103" x14ac:dyDescent="0.35">
      <c r="A154">
        <v>121</v>
      </c>
      <c r="B154" s="1">
        <v>137</v>
      </c>
      <c r="C154" t="s">
        <v>115</v>
      </c>
      <c r="D154">
        <v>2018</v>
      </c>
      <c r="E154" t="s">
        <v>350</v>
      </c>
      <c r="G154" s="29" t="s">
        <v>214</v>
      </c>
      <c r="H154">
        <v>3</v>
      </c>
      <c r="I154" t="s">
        <v>184</v>
      </c>
      <c r="M154">
        <v>17.100000000000001</v>
      </c>
      <c r="N154">
        <v>1434</v>
      </c>
      <c r="O154" t="s">
        <v>310</v>
      </c>
      <c r="P154" t="s">
        <v>182</v>
      </c>
      <c r="Q154">
        <v>2</v>
      </c>
      <c r="R154" s="24" t="s">
        <v>349</v>
      </c>
      <c r="T154" t="s">
        <v>245</v>
      </c>
      <c r="V154" t="s">
        <v>112</v>
      </c>
      <c r="W154" s="29" t="s">
        <v>214</v>
      </c>
      <c r="X154" t="s">
        <v>238</v>
      </c>
      <c r="Y154" t="s">
        <v>87</v>
      </c>
      <c r="Z154" s="14">
        <v>14.1</v>
      </c>
      <c r="AA154" s="22">
        <v>0.62</v>
      </c>
      <c r="AB154" s="36">
        <v>95.6</v>
      </c>
      <c r="AC154" t="s">
        <v>277</v>
      </c>
      <c r="AF154">
        <v>1.75</v>
      </c>
      <c r="AI154">
        <v>0.09</v>
      </c>
      <c r="AQ154" t="s">
        <v>88</v>
      </c>
      <c r="AR154" t="s">
        <v>88</v>
      </c>
      <c r="AS154" t="s">
        <v>88</v>
      </c>
      <c r="AW154" s="29" t="s">
        <v>214</v>
      </c>
      <c r="AY154">
        <v>3979</v>
      </c>
      <c r="BD154" t="s">
        <v>87</v>
      </c>
      <c r="BE154" s="23">
        <v>0.17</v>
      </c>
      <c r="BF154" s="39">
        <v>8.3000000000000018E-2</v>
      </c>
      <c r="BG154" s="21">
        <v>8.6999999999999994E-2</v>
      </c>
      <c r="BH154" s="41">
        <v>51.18</v>
      </c>
      <c r="BP154" s="13">
        <v>615</v>
      </c>
      <c r="BT154">
        <v>4</v>
      </c>
      <c r="BX154" t="s">
        <v>626</v>
      </c>
      <c r="BY154" t="s">
        <v>96</v>
      </c>
      <c r="CC154">
        <v>224</v>
      </c>
      <c r="CE154">
        <v>2.6</v>
      </c>
      <c r="CJ154" t="s">
        <v>382</v>
      </c>
      <c r="CK154" t="s">
        <v>244</v>
      </c>
      <c r="CR154" s="24" t="s">
        <v>247</v>
      </c>
      <c r="CY154" s="24" t="s">
        <v>858</v>
      </c>
    </row>
    <row r="155" spans="1:103" x14ac:dyDescent="0.35">
      <c r="A155">
        <v>122</v>
      </c>
      <c r="B155" s="1">
        <v>146</v>
      </c>
      <c r="C155" t="s">
        <v>851</v>
      </c>
      <c r="D155">
        <v>2017</v>
      </c>
      <c r="E155" t="s">
        <v>467</v>
      </c>
      <c r="G155" s="29" t="s">
        <v>215</v>
      </c>
      <c r="H155">
        <v>2</v>
      </c>
      <c r="I155" t="s">
        <v>184</v>
      </c>
      <c r="J155" s="14">
        <v>28.5</v>
      </c>
      <c r="K155">
        <v>113.3</v>
      </c>
      <c r="M155">
        <v>17.5</v>
      </c>
      <c r="N155">
        <v>1330</v>
      </c>
      <c r="O155" t="s">
        <v>310</v>
      </c>
      <c r="P155" t="s">
        <v>183</v>
      </c>
      <c r="Q155">
        <v>0</v>
      </c>
      <c r="R155" s="24" t="s">
        <v>257</v>
      </c>
      <c r="S155" s="24" t="s">
        <v>352</v>
      </c>
      <c r="T155" t="s">
        <v>730</v>
      </c>
      <c r="V155" t="s">
        <v>112</v>
      </c>
      <c r="W155" s="29" t="s">
        <v>215</v>
      </c>
      <c r="X155" t="s">
        <v>238</v>
      </c>
      <c r="Y155" t="s">
        <v>87</v>
      </c>
      <c r="Z155" s="14">
        <v>22.5</v>
      </c>
      <c r="AA155" s="22">
        <v>3</v>
      </c>
      <c r="AB155">
        <v>89.4</v>
      </c>
      <c r="AF155">
        <v>12</v>
      </c>
      <c r="AI155">
        <v>4.4000000000000004</v>
      </c>
      <c r="AQ155" t="s">
        <v>87</v>
      </c>
      <c r="AR155" t="s">
        <v>87</v>
      </c>
      <c r="AS155" t="s">
        <v>88</v>
      </c>
      <c r="AV155" t="s">
        <v>235</v>
      </c>
      <c r="AW155" s="29" t="s">
        <v>215</v>
      </c>
      <c r="AY155">
        <v>65.7</v>
      </c>
      <c r="BD155" t="s">
        <v>87</v>
      </c>
      <c r="BE155" s="23">
        <v>0.45900000000000002</v>
      </c>
      <c r="BF155" s="38">
        <v>4.7000000000000042E-2</v>
      </c>
      <c r="BG155" s="21">
        <v>0.41199999999999998</v>
      </c>
      <c r="BH155" s="41">
        <v>89.76</v>
      </c>
      <c r="BI155">
        <v>22.3</v>
      </c>
      <c r="BJ155">
        <v>1.51</v>
      </c>
      <c r="BP155" s="13">
        <v>30</v>
      </c>
      <c r="BS155">
        <v>3</v>
      </c>
      <c r="BT155">
        <v>3</v>
      </c>
      <c r="BU155">
        <v>0.2</v>
      </c>
      <c r="BX155" t="s">
        <v>627</v>
      </c>
      <c r="BY155" t="s">
        <v>96</v>
      </c>
      <c r="CC155">
        <v>792</v>
      </c>
      <c r="CD155">
        <v>6.57</v>
      </c>
      <c r="CE155">
        <v>7.5</v>
      </c>
      <c r="CI155" t="s">
        <v>351</v>
      </c>
      <c r="CJ155" t="s">
        <v>852</v>
      </c>
      <c r="CR155" s="24" t="s">
        <v>353</v>
      </c>
      <c r="CY155" s="24" t="s">
        <v>853</v>
      </c>
    </row>
    <row r="156" spans="1:103" x14ac:dyDescent="0.35">
      <c r="A156">
        <v>123</v>
      </c>
      <c r="B156" s="1">
        <v>146</v>
      </c>
      <c r="C156" t="s">
        <v>851</v>
      </c>
      <c r="D156">
        <v>2017</v>
      </c>
      <c r="E156" t="s">
        <v>468</v>
      </c>
      <c r="G156" s="29" t="s">
        <v>215</v>
      </c>
      <c r="H156">
        <v>2</v>
      </c>
      <c r="I156" t="s">
        <v>184</v>
      </c>
      <c r="J156" s="14">
        <v>28.5</v>
      </c>
      <c r="K156">
        <v>113.3</v>
      </c>
      <c r="M156">
        <v>17.5</v>
      </c>
      <c r="N156">
        <v>1330</v>
      </c>
      <c r="O156" t="s">
        <v>310</v>
      </c>
      <c r="P156" t="s">
        <v>183</v>
      </c>
      <c r="Q156">
        <v>0</v>
      </c>
      <c r="R156" s="24" t="s">
        <v>257</v>
      </c>
      <c r="S156" s="24" t="s">
        <v>352</v>
      </c>
      <c r="T156" t="s">
        <v>730</v>
      </c>
      <c r="V156" t="s">
        <v>112</v>
      </c>
      <c r="W156" s="29" t="s">
        <v>215</v>
      </c>
      <c r="X156" t="s">
        <v>238</v>
      </c>
      <c r="Y156" t="s">
        <v>87</v>
      </c>
      <c r="Z156" s="14">
        <v>44.5</v>
      </c>
      <c r="AA156" s="22">
        <v>8.1</v>
      </c>
      <c r="AB156">
        <v>80.900000000000006</v>
      </c>
      <c r="AF156">
        <v>17</v>
      </c>
      <c r="AI156">
        <v>9.4</v>
      </c>
      <c r="AQ156" t="s">
        <v>87</v>
      </c>
      <c r="AR156" t="s">
        <v>87</v>
      </c>
      <c r="AS156" t="s">
        <v>88</v>
      </c>
      <c r="AV156" t="s">
        <v>235</v>
      </c>
      <c r="AW156" s="29" t="s">
        <v>215</v>
      </c>
      <c r="AY156">
        <v>65.7</v>
      </c>
      <c r="BD156" t="s">
        <v>87</v>
      </c>
      <c r="BE156" s="23">
        <v>0.80100000000000005</v>
      </c>
      <c r="BF156" s="40">
        <v>0.129</v>
      </c>
      <c r="BG156" s="21">
        <v>0.67200000000000004</v>
      </c>
      <c r="BH156" s="41">
        <v>83.9</v>
      </c>
      <c r="BI156">
        <v>17.7</v>
      </c>
      <c r="BJ156">
        <v>2.4500000000000002</v>
      </c>
      <c r="BP156" s="13">
        <v>30</v>
      </c>
      <c r="BS156">
        <v>3</v>
      </c>
      <c r="BT156">
        <v>3</v>
      </c>
      <c r="BU156">
        <v>0.2</v>
      </c>
      <c r="BX156" t="s">
        <v>627</v>
      </c>
      <c r="BY156" t="s">
        <v>96</v>
      </c>
      <c r="CC156">
        <v>792</v>
      </c>
      <c r="CD156">
        <v>6.57</v>
      </c>
      <c r="CE156">
        <v>7.5</v>
      </c>
      <c r="CI156" t="s">
        <v>351</v>
      </c>
      <c r="CJ156" t="s">
        <v>854</v>
      </c>
      <c r="CR156" s="24" t="s">
        <v>353</v>
      </c>
      <c r="CY156" s="24" t="s">
        <v>853</v>
      </c>
    </row>
    <row r="157" spans="1:103" x14ac:dyDescent="0.35">
      <c r="A157">
        <v>124</v>
      </c>
      <c r="B157" s="1">
        <v>146</v>
      </c>
      <c r="C157" t="s">
        <v>851</v>
      </c>
      <c r="D157">
        <v>2017</v>
      </c>
      <c r="E157" t="s">
        <v>469</v>
      </c>
      <c r="G157" s="29" t="s">
        <v>215</v>
      </c>
      <c r="H157">
        <v>2</v>
      </c>
      <c r="I157" t="s">
        <v>184</v>
      </c>
      <c r="J157" s="14">
        <v>28.5</v>
      </c>
      <c r="K157">
        <v>113.3</v>
      </c>
      <c r="M157">
        <v>17.5</v>
      </c>
      <c r="N157">
        <v>1330</v>
      </c>
      <c r="O157" t="s">
        <v>310</v>
      </c>
      <c r="P157" t="s">
        <v>183</v>
      </c>
      <c r="Q157">
        <v>0</v>
      </c>
      <c r="R157" s="24" t="s">
        <v>257</v>
      </c>
      <c r="S157" s="24" t="s">
        <v>352</v>
      </c>
      <c r="T157" t="s">
        <v>730</v>
      </c>
      <c r="V157" t="s">
        <v>112</v>
      </c>
      <c r="W157" s="29" t="s">
        <v>215</v>
      </c>
      <c r="X157" t="s">
        <v>238</v>
      </c>
      <c r="Y157" t="s">
        <v>87</v>
      </c>
      <c r="Z157" s="14">
        <v>55.4</v>
      </c>
      <c r="AA157" s="22">
        <v>17</v>
      </c>
      <c r="AB157">
        <v>70.099999999999994</v>
      </c>
      <c r="AF157">
        <v>22.6</v>
      </c>
      <c r="AI157">
        <v>14.9</v>
      </c>
      <c r="AQ157" t="s">
        <v>87</v>
      </c>
      <c r="AR157" t="s">
        <v>87</v>
      </c>
      <c r="AS157" t="s">
        <v>88</v>
      </c>
      <c r="AV157" t="s">
        <v>235</v>
      </c>
      <c r="AW157" s="29" t="s">
        <v>215</v>
      </c>
      <c r="AY157">
        <v>65.7</v>
      </c>
      <c r="BD157" t="s">
        <v>87</v>
      </c>
      <c r="BE157" s="23">
        <v>0.996</v>
      </c>
      <c r="BF157" s="38">
        <v>0.21699999999999997</v>
      </c>
      <c r="BG157" s="21">
        <v>0.77900000000000003</v>
      </c>
      <c r="BH157" s="41">
        <v>78.209999999999994</v>
      </c>
      <c r="BI157">
        <v>12.1</v>
      </c>
      <c r="BJ157">
        <v>2.85</v>
      </c>
      <c r="BP157" s="13">
        <v>30</v>
      </c>
      <c r="BS157">
        <v>3</v>
      </c>
      <c r="BT157">
        <v>3</v>
      </c>
      <c r="BU157">
        <v>0.2</v>
      </c>
      <c r="BX157" t="s">
        <v>627</v>
      </c>
      <c r="BY157" t="s">
        <v>96</v>
      </c>
      <c r="CC157">
        <v>792</v>
      </c>
      <c r="CD157">
        <v>6.57</v>
      </c>
      <c r="CE157">
        <v>7.5</v>
      </c>
      <c r="CI157" t="s">
        <v>351</v>
      </c>
      <c r="CJ157" t="s">
        <v>855</v>
      </c>
      <c r="CR157" s="24" t="s">
        <v>353</v>
      </c>
      <c r="CY157" s="24" t="s">
        <v>853</v>
      </c>
    </row>
    <row r="158" spans="1:103" x14ac:dyDescent="0.35">
      <c r="A158">
        <v>157</v>
      </c>
      <c r="B158" s="1">
        <v>159</v>
      </c>
      <c r="C158" t="s">
        <v>163</v>
      </c>
      <c r="D158">
        <v>2014</v>
      </c>
      <c r="E158" t="s">
        <v>675</v>
      </c>
      <c r="G158" t="s">
        <v>676</v>
      </c>
      <c r="H158">
        <v>20</v>
      </c>
      <c r="I158" t="s">
        <v>198</v>
      </c>
      <c r="J158">
        <v>40.021000000000001</v>
      </c>
      <c r="K158">
        <v>-83.016999999999996</v>
      </c>
      <c r="Q158">
        <v>1</v>
      </c>
      <c r="R158" t="s">
        <v>681</v>
      </c>
      <c r="T158" t="s">
        <v>338</v>
      </c>
      <c r="W158" t="s">
        <v>679</v>
      </c>
      <c r="Y158" t="s">
        <v>87</v>
      </c>
      <c r="Z158" s="22"/>
      <c r="AA158" s="22"/>
      <c r="AQ158" t="s">
        <v>88</v>
      </c>
      <c r="AR158" t="s">
        <v>88</v>
      </c>
      <c r="AS158" t="s">
        <v>87</v>
      </c>
      <c r="AV158" t="s">
        <v>235</v>
      </c>
      <c r="AW158" t="s">
        <v>678</v>
      </c>
      <c r="BE158">
        <v>5.61</v>
      </c>
      <c r="BF158" s="36">
        <v>3.21</v>
      </c>
      <c r="BG158">
        <v>2.4</v>
      </c>
      <c r="BH158">
        <v>42.7</v>
      </c>
      <c r="BK158">
        <v>2.17</v>
      </c>
      <c r="BL158" s="36">
        <v>1.3</v>
      </c>
      <c r="BM158">
        <v>0.87</v>
      </c>
      <c r="BN158">
        <v>40.299999999999997</v>
      </c>
      <c r="BP158">
        <v>20000</v>
      </c>
      <c r="BX158" t="s">
        <v>677</v>
      </c>
      <c r="BY158" t="s">
        <v>96</v>
      </c>
      <c r="CD158">
        <v>39.799999999999997</v>
      </c>
      <c r="CI158" t="s">
        <v>325</v>
      </c>
      <c r="CK158" t="s">
        <v>324</v>
      </c>
      <c r="CO158" t="s">
        <v>261</v>
      </c>
      <c r="CR158" t="s">
        <v>680</v>
      </c>
      <c r="CU158" t="s">
        <v>261</v>
      </c>
      <c r="CV158" t="s">
        <v>261</v>
      </c>
      <c r="CY158" s="24" t="s">
        <v>682</v>
      </c>
    </row>
    <row r="159" spans="1:103" x14ac:dyDescent="0.35">
      <c r="A159">
        <v>172</v>
      </c>
      <c r="B159" s="1">
        <v>163</v>
      </c>
      <c r="C159" t="s">
        <v>133</v>
      </c>
      <c r="D159">
        <v>2017</v>
      </c>
      <c r="E159" t="s">
        <v>520</v>
      </c>
      <c r="G159" s="30" t="s">
        <v>524</v>
      </c>
      <c r="H159">
        <v>3</v>
      </c>
      <c r="I159" t="s">
        <v>196</v>
      </c>
      <c r="J159">
        <v>39.363999999999997</v>
      </c>
      <c r="K159">
        <v>-0.34100000000000003</v>
      </c>
      <c r="O159" t="s">
        <v>521</v>
      </c>
      <c r="R159" t="s">
        <v>522</v>
      </c>
      <c r="T159" t="s">
        <v>729</v>
      </c>
      <c r="U159">
        <v>304</v>
      </c>
      <c r="V159" t="s">
        <v>112</v>
      </c>
      <c r="W159" s="30" t="s">
        <v>524</v>
      </c>
      <c r="Y159" t="s">
        <v>87</v>
      </c>
      <c r="Z159" s="22"/>
      <c r="AA159" s="22"/>
      <c r="AQ159" t="s">
        <v>88</v>
      </c>
      <c r="AR159" t="s">
        <v>88</v>
      </c>
      <c r="AS159" t="s">
        <v>87</v>
      </c>
      <c r="AU159" t="s">
        <v>527</v>
      </c>
      <c r="AV159" t="s">
        <v>235</v>
      </c>
      <c r="AW159" s="30" t="s">
        <v>524</v>
      </c>
      <c r="AX159" t="s">
        <v>523</v>
      </c>
      <c r="BE159">
        <v>12.48</v>
      </c>
      <c r="BF159" s="36">
        <v>5.33</v>
      </c>
      <c r="BG159">
        <v>7.15</v>
      </c>
      <c r="BH159">
        <v>55</v>
      </c>
      <c r="BJ159">
        <v>306</v>
      </c>
      <c r="BK159">
        <v>3.87</v>
      </c>
      <c r="BL159" s="36">
        <v>0.98</v>
      </c>
      <c r="BM159">
        <v>2.89</v>
      </c>
      <c r="BN159">
        <v>71</v>
      </c>
      <c r="BS159">
        <v>3</v>
      </c>
      <c r="BT159">
        <v>3</v>
      </c>
      <c r="BU159">
        <v>0.18</v>
      </c>
      <c r="BV159">
        <v>0.08</v>
      </c>
      <c r="BW159">
        <v>0.25</v>
      </c>
      <c r="BY159" t="s">
        <v>96</v>
      </c>
      <c r="CC159">
        <v>74.400000000000006</v>
      </c>
      <c r="CD159" s="28" t="s">
        <v>526</v>
      </c>
      <c r="CK159" t="s">
        <v>534</v>
      </c>
      <c r="CO159" t="s">
        <v>88</v>
      </c>
      <c r="CQ159" t="s">
        <v>528</v>
      </c>
      <c r="CU159" t="s">
        <v>88</v>
      </c>
      <c r="CV159" t="s">
        <v>88</v>
      </c>
      <c r="CY159" s="24" t="s">
        <v>875</v>
      </c>
    </row>
    <row r="160" spans="1:103" x14ac:dyDescent="0.35">
      <c r="A160">
        <v>173</v>
      </c>
      <c r="B160" s="1">
        <v>164</v>
      </c>
      <c r="C160" t="s">
        <v>834</v>
      </c>
      <c r="D160">
        <v>2015</v>
      </c>
      <c r="E160" t="s">
        <v>248</v>
      </c>
      <c r="G160" s="29" t="s">
        <v>835</v>
      </c>
      <c r="H160">
        <v>11</v>
      </c>
      <c r="I160" t="s">
        <v>69</v>
      </c>
      <c r="J160" s="14">
        <v>26.397279999999999</v>
      </c>
      <c r="K160" s="14">
        <v>-80.524259999999998</v>
      </c>
      <c r="M160" s="15"/>
      <c r="O160" s="29" t="s">
        <v>80</v>
      </c>
      <c r="R160" t="s">
        <v>176</v>
      </c>
      <c r="S160" s="24" t="s">
        <v>82</v>
      </c>
      <c r="T160" t="s">
        <v>230</v>
      </c>
      <c r="V160" t="s">
        <v>222</v>
      </c>
      <c r="W160" s="29" t="s">
        <v>835</v>
      </c>
      <c r="Y160" t="s">
        <v>87</v>
      </c>
      <c r="Z160" s="14">
        <v>9.1999999999999998E-2</v>
      </c>
      <c r="AA160" s="22">
        <v>1.4999999999999999E-2</v>
      </c>
      <c r="AB160">
        <v>83.7</v>
      </c>
      <c r="AC160" t="s">
        <v>107</v>
      </c>
      <c r="AJ160">
        <v>6.2E-2</v>
      </c>
      <c r="AK160">
        <v>6.0000000000000001E-3</v>
      </c>
      <c r="AL160">
        <v>91</v>
      </c>
      <c r="AQ160" t="s">
        <v>87</v>
      </c>
      <c r="AR160" t="s">
        <v>88</v>
      </c>
      <c r="AS160" t="s">
        <v>88</v>
      </c>
      <c r="AV160" t="s">
        <v>235</v>
      </c>
      <c r="AW160" s="29" t="s">
        <v>835</v>
      </c>
      <c r="BD160" t="s">
        <v>87</v>
      </c>
      <c r="BE160" s="17">
        <v>0.85</v>
      </c>
      <c r="BF160" s="38">
        <v>0.10199999999999999</v>
      </c>
      <c r="BG160" s="21">
        <v>0.748</v>
      </c>
      <c r="BH160">
        <v>88</v>
      </c>
      <c r="BP160" s="13"/>
      <c r="BS160">
        <v>7450000</v>
      </c>
      <c r="BY160">
        <v>0</v>
      </c>
      <c r="BZ160">
        <v>1.5</v>
      </c>
      <c r="CA160" t="s">
        <v>836</v>
      </c>
      <c r="CB160" t="s">
        <v>96</v>
      </c>
      <c r="CD160">
        <v>95</v>
      </c>
      <c r="CF160" t="s">
        <v>837</v>
      </c>
      <c r="CG160">
        <v>9.23</v>
      </c>
      <c r="CK160" t="s">
        <v>104</v>
      </c>
      <c r="CL160" t="s">
        <v>838</v>
      </c>
      <c r="CN160" t="s">
        <v>839</v>
      </c>
      <c r="CO160" t="s">
        <v>261</v>
      </c>
      <c r="CU160" t="s">
        <v>840</v>
      </c>
      <c r="CW160">
        <v>1</v>
      </c>
      <c r="CX160" t="s">
        <v>88</v>
      </c>
      <c r="CY160" s="24" t="s">
        <v>841</v>
      </c>
    </row>
    <row r="161" spans="1:103" x14ac:dyDescent="0.35">
      <c r="A161">
        <v>174</v>
      </c>
      <c r="B161" s="1">
        <v>164</v>
      </c>
      <c r="C161" t="s">
        <v>834</v>
      </c>
      <c r="D161">
        <v>2015</v>
      </c>
      <c r="E161" t="s">
        <v>249</v>
      </c>
      <c r="G161" s="29" t="s">
        <v>835</v>
      </c>
      <c r="H161">
        <v>11</v>
      </c>
      <c r="I161" t="s">
        <v>69</v>
      </c>
      <c r="J161" s="14">
        <v>26.397279999999999</v>
      </c>
      <c r="K161" s="14">
        <v>-80.524259999999998</v>
      </c>
      <c r="M161" s="15"/>
      <c r="O161" s="29" t="s">
        <v>80</v>
      </c>
      <c r="R161" t="s">
        <v>176</v>
      </c>
      <c r="S161" s="24" t="s">
        <v>82</v>
      </c>
      <c r="T161" t="s">
        <v>230</v>
      </c>
      <c r="V161" t="s">
        <v>222</v>
      </c>
      <c r="W161" s="29" t="s">
        <v>835</v>
      </c>
      <c r="Y161" t="s">
        <v>87</v>
      </c>
      <c r="Z161" s="14">
        <v>0.114</v>
      </c>
      <c r="AA161" s="22">
        <v>3.2000000000000001E-2</v>
      </c>
      <c r="AB161">
        <v>71.930000000000007</v>
      </c>
      <c r="AC161" t="s">
        <v>107</v>
      </c>
      <c r="AJ161">
        <v>7.8E-2</v>
      </c>
      <c r="AK161">
        <v>1.4E-2</v>
      </c>
      <c r="AL161">
        <v>82</v>
      </c>
      <c r="AQ161" t="s">
        <v>87</v>
      </c>
      <c r="AR161" t="s">
        <v>88</v>
      </c>
      <c r="AS161" t="s">
        <v>88</v>
      </c>
      <c r="AV161" t="s">
        <v>235</v>
      </c>
      <c r="AW161" s="29" t="s">
        <v>835</v>
      </c>
      <c r="BD161" t="s">
        <v>87</v>
      </c>
      <c r="BE161" s="17">
        <v>1.55</v>
      </c>
      <c r="BF161" s="38">
        <v>0.4</v>
      </c>
      <c r="BG161" s="21">
        <v>1.1499999999999999</v>
      </c>
      <c r="BH161">
        <v>74</v>
      </c>
      <c r="BP161" s="13"/>
      <c r="BS161">
        <v>9600000</v>
      </c>
      <c r="BY161">
        <v>0</v>
      </c>
      <c r="BZ161">
        <v>1.5</v>
      </c>
      <c r="CA161" t="s">
        <v>842</v>
      </c>
      <c r="CB161" t="s">
        <v>96</v>
      </c>
      <c r="CC161" t="s">
        <v>95</v>
      </c>
      <c r="CD161">
        <v>63</v>
      </c>
      <c r="CF161" t="s">
        <v>843</v>
      </c>
      <c r="CG161">
        <v>13.5</v>
      </c>
      <c r="CK161" t="s">
        <v>104</v>
      </c>
      <c r="CL161" t="s">
        <v>838</v>
      </c>
      <c r="CN161" t="s">
        <v>839</v>
      </c>
      <c r="CO161" t="s">
        <v>261</v>
      </c>
      <c r="CU161" t="s">
        <v>840</v>
      </c>
      <c r="CW161">
        <v>1</v>
      </c>
      <c r="CX161" t="s">
        <v>88</v>
      </c>
      <c r="CY161" s="24" t="s">
        <v>841</v>
      </c>
    </row>
    <row r="162" spans="1:103" x14ac:dyDescent="0.35">
      <c r="A162">
        <v>175</v>
      </c>
      <c r="B162" s="1">
        <v>164</v>
      </c>
      <c r="C162" t="s">
        <v>834</v>
      </c>
      <c r="D162">
        <v>2015</v>
      </c>
      <c r="E162" t="s">
        <v>250</v>
      </c>
      <c r="G162" s="29" t="s">
        <v>835</v>
      </c>
      <c r="H162">
        <v>11</v>
      </c>
      <c r="I162" t="s">
        <v>69</v>
      </c>
      <c r="J162" s="14">
        <v>26.397279999999999</v>
      </c>
      <c r="K162" s="14">
        <v>-80.524259999999998</v>
      </c>
      <c r="M162" s="15"/>
      <c r="O162" s="29" t="s">
        <v>80</v>
      </c>
      <c r="R162" t="s">
        <v>176</v>
      </c>
      <c r="S162" s="24" t="s">
        <v>82</v>
      </c>
      <c r="T162" t="s">
        <v>230</v>
      </c>
      <c r="V162" t="s">
        <v>222</v>
      </c>
      <c r="W162" s="29" t="s">
        <v>835</v>
      </c>
      <c r="Y162" t="s">
        <v>87</v>
      </c>
      <c r="Z162" s="14">
        <v>9.0999999999999998E-2</v>
      </c>
      <c r="AA162" s="22">
        <v>1.7000000000000001E-2</v>
      </c>
      <c r="AB162">
        <v>81.319999999999993</v>
      </c>
      <c r="AC162" t="s">
        <v>107</v>
      </c>
      <c r="AJ162">
        <v>6.8000000000000005E-2</v>
      </c>
      <c r="AK162">
        <v>5.0000000000000001E-3</v>
      </c>
      <c r="AL162">
        <v>93</v>
      </c>
      <c r="AQ162" t="s">
        <v>87</v>
      </c>
      <c r="AR162" t="s">
        <v>88</v>
      </c>
      <c r="AS162" t="s">
        <v>88</v>
      </c>
      <c r="AV162" t="s">
        <v>235</v>
      </c>
      <c r="AW162" s="29" t="s">
        <v>835</v>
      </c>
      <c r="BD162" t="s">
        <v>87</v>
      </c>
      <c r="BE162" s="17">
        <v>1.25</v>
      </c>
      <c r="BF162" s="38">
        <v>0.22</v>
      </c>
      <c r="BG162" s="21">
        <v>1.03</v>
      </c>
      <c r="BH162">
        <v>82</v>
      </c>
      <c r="BP162" s="13"/>
      <c r="BS162">
        <v>9290000</v>
      </c>
      <c r="BY162">
        <v>0</v>
      </c>
      <c r="BZ162">
        <v>1.5</v>
      </c>
      <c r="CA162" t="s">
        <v>842</v>
      </c>
      <c r="CB162" t="s">
        <v>96</v>
      </c>
      <c r="CC162" t="s">
        <v>95</v>
      </c>
      <c r="CD162">
        <v>30</v>
      </c>
      <c r="CF162" t="s">
        <v>844</v>
      </c>
      <c r="CG162">
        <v>13.8</v>
      </c>
      <c r="CK162" t="s">
        <v>104</v>
      </c>
      <c r="CL162" t="s">
        <v>838</v>
      </c>
      <c r="CN162" t="s">
        <v>839</v>
      </c>
      <c r="CO162" t="s">
        <v>261</v>
      </c>
      <c r="CU162" t="s">
        <v>840</v>
      </c>
      <c r="CW162">
        <v>1</v>
      </c>
      <c r="CX162" t="s">
        <v>88</v>
      </c>
      <c r="CY162" s="24" t="s">
        <v>841</v>
      </c>
    </row>
    <row r="163" spans="1:103" x14ac:dyDescent="0.35">
      <c r="A163">
        <v>176</v>
      </c>
      <c r="B163" s="1">
        <v>164</v>
      </c>
      <c r="C163" t="s">
        <v>834</v>
      </c>
      <c r="D163">
        <v>2015</v>
      </c>
      <c r="E163" t="s">
        <v>251</v>
      </c>
      <c r="G163" s="29" t="s">
        <v>845</v>
      </c>
      <c r="H163">
        <v>7</v>
      </c>
      <c r="I163" t="s">
        <v>69</v>
      </c>
      <c r="J163" s="14">
        <v>26.36627</v>
      </c>
      <c r="K163" s="14">
        <v>-80.638739999999999</v>
      </c>
      <c r="M163" s="15"/>
      <c r="O163" s="29" t="s">
        <v>80</v>
      </c>
      <c r="R163" t="s">
        <v>176</v>
      </c>
      <c r="S163" s="24" t="s">
        <v>82</v>
      </c>
      <c r="T163" t="s">
        <v>230</v>
      </c>
      <c r="V163" t="s">
        <v>222</v>
      </c>
      <c r="W163" s="29" t="s">
        <v>845</v>
      </c>
      <c r="Y163" t="s">
        <v>87</v>
      </c>
      <c r="Z163" s="14">
        <v>0.10199999999999999</v>
      </c>
      <c r="AA163" s="22">
        <v>1.7999999999999999E-2</v>
      </c>
      <c r="AB163">
        <v>82.35</v>
      </c>
      <c r="AC163" t="s">
        <v>107</v>
      </c>
      <c r="AJ163">
        <v>5.1999999999999998E-2</v>
      </c>
      <c r="AK163">
        <v>4.0000000000000001E-3</v>
      </c>
      <c r="AL163">
        <v>92</v>
      </c>
      <c r="AQ163" t="s">
        <v>87</v>
      </c>
      <c r="AR163" t="s">
        <v>88</v>
      </c>
      <c r="AS163" t="s">
        <v>88</v>
      </c>
      <c r="AV163" t="s">
        <v>235</v>
      </c>
      <c r="AW163" s="29" t="s">
        <v>845</v>
      </c>
      <c r="BD163" t="s">
        <v>87</v>
      </c>
      <c r="BE163" s="17">
        <v>0.78</v>
      </c>
      <c r="BF163" s="38">
        <v>0.156</v>
      </c>
      <c r="BG163" s="21">
        <v>0.62400000000000011</v>
      </c>
      <c r="BH163">
        <v>80</v>
      </c>
      <c r="BP163" s="13"/>
      <c r="BS163">
        <v>26210000</v>
      </c>
      <c r="BY163">
        <v>0</v>
      </c>
      <c r="BZ163">
        <v>1.5</v>
      </c>
      <c r="CA163" t="s">
        <v>842</v>
      </c>
      <c r="CB163" t="s">
        <v>96</v>
      </c>
      <c r="CC163" t="s">
        <v>95</v>
      </c>
      <c r="CF163" t="s">
        <v>846</v>
      </c>
      <c r="CG163">
        <v>7.67</v>
      </c>
      <c r="CK163" t="s">
        <v>104</v>
      </c>
      <c r="CL163" t="s">
        <v>838</v>
      </c>
      <c r="CN163" t="s">
        <v>220</v>
      </c>
      <c r="CO163" t="s">
        <v>261</v>
      </c>
      <c r="CS163" t="s">
        <v>847</v>
      </c>
      <c r="CU163" t="s">
        <v>840</v>
      </c>
      <c r="CX163" t="s">
        <v>88</v>
      </c>
      <c r="CY163" s="24" t="s">
        <v>841</v>
      </c>
    </row>
    <row r="164" spans="1:103" x14ac:dyDescent="0.35">
      <c r="A164">
        <v>177</v>
      </c>
      <c r="B164" s="1">
        <v>164</v>
      </c>
      <c r="C164" t="s">
        <v>834</v>
      </c>
      <c r="D164">
        <v>2015</v>
      </c>
      <c r="E164" t="s">
        <v>252</v>
      </c>
      <c r="G164" s="29" t="s">
        <v>845</v>
      </c>
      <c r="H164">
        <v>7</v>
      </c>
      <c r="I164" t="s">
        <v>69</v>
      </c>
      <c r="J164" s="14">
        <v>26.36627</v>
      </c>
      <c r="K164" s="14">
        <v>-80.638739999999999</v>
      </c>
      <c r="M164" s="15"/>
      <c r="O164" s="29" t="s">
        <v>80</v>
      </c>
      <c r="R164" t="s">
        <v>176</v>
      </c>
      <c r="S164" s="24" t="s">
        <v>82</v>
      </c>
      <c r="T164" t="s">
        <v>230</v>
      </c>
      <c r="V164" t="s">
        <v>222</v>
      </c>
      <c r="W164" s="29" t="s">
        <v>845</v>
      </c>
      <c r="Y164" t="s">
        <v>87</v>
      </c>
      <c r="Z164" s="14">
        <v>8.5000000000000006E-2</v>
      </c>
      <c r="AA164" s="22">
        <v>2.1000000000000001E-2</v>
      </c>
      <c r="AB164">
        <v>75.290000000000006</v>
      </c>
      <c r="AC164" t="s">
        <v>107</v>
      </c>
      <c r="AJ164">
        <v>0.04</v>
      </c>
      <c r="AK164">
        <v>3.0000000000000001E-3</v>
      </c>
      <c r="AL164">
        <v>93</v>
      </c>
      <c r="AQ164" t="s">
        <v>87</v>
      </c>
      <c r="AR164" t="s">
        <v>88</v>
      </c>
      <c r="AS164" t="s">
        <v>88</v>
      </c>
      <c r="AV164" t="s">
        <v>235</v>
      </c>
      <c r="AW164" s="29" t="s">
        <v>845</v>
      </c>
      <c r="BD164" t="s">
        <v>87</v>
      </c>
      <c r="BE164" s="17">
        <v>0.67</v>
      </c>
      <c r="BF164" s="38">
        <v>0.16700000000000001</v>
      </c>
      <c r="BG164" s="21">
        <v>0.503</v>
      </c>
      <c r="BH164">
        <v>75</v>
      </c>
      <c r="BP164" s="13"/>
      <c r="BS164">
        <v>21630000</v>
      </c>
      <c r="BY164">
        <v>0</v>
      </c>
      <c r="BZ164">
        <v>1.5</v>
      </c>
      <c r="CA164" t="s">
        <v>842</v>
      </c>
      <c r="CB164" t="s">
        <v>96</v>
      </c>
      <c r="CC164" t="s">
        <v>95</v>
      </c>
      <c r="CF164" t="s">
        <v>848</v>
      </c>
      <c r="CG164">
        <v>7.88</v>
      </c>
      <c r="CK164" t="s">
        <v>104</v>
      </c>
      <c r="CL164" t="s">
        <v>838</v>
      </c>
      <c r="CN164" t="s">
        <v>220</v>
      </c>
      <c r="CO164" t="s">
        <v>261</v>
      </c>
      <c r="CS164" t="s">
        <v>847</v>
      </c>
      <c r="CU164" t="s">
        <v>840</v>
      </c>
      <c r="CX164" t="s">
        <v>88</v>
      </c>
      <c r="CY164" s="24" t="s">
        <v>841</v>
      </c>
    </row>
    <row r="165" spans="1:103" x14ac:dyDescent="0.35">
      <c r="A165">
        <v>178</v>
      </c>
      <c r="B165" s="1">
        <v>164</v>
      </c>
      <c r="C165" t="s">
        <v>834</v>
      </c>
      <c r="D165">
        <v>2015</v>
      </c>
      <c r="E165" t="s">
        <v>253</v>
      </c>
      <c r="G165" s="29" t="s">
        <v>845</v>
      </c>
      <c r="H165">
        <v>7</v>
      </c>
      <c r="I165" t="s">
        <v>69</v>
      </c>
      <c r="J165" s="14">
        <v>26.36627</v>
      </c>
      <c r="K165" s="14">
        <v>-80.638739999999999</v>
      </c>
      <c r="M165" s="15"/>
      <c r="O165" s="29" t="s">
        <v>80</v>
      </c>
      <c r="R165" t="s">
        <v>176</v>
      </c>
      <c r="S165" s="24" t="s">
        <v>82</v>
      </c>
      <c r="T165" t="s">
        <v>230</v>
      </c>
      <c r="V165" t="s">
        <v>222</v>
      </c>
      <c r="W165" s="29" t="s">
        <v>845</v>
      </c>
      <c r="Y165" t="s">
        <v>87</v>
      </c>
      <c r="Z165" s="14">
        <v>6.9000000000000006E-2</v>
      </c>
      <c r="AA165" s="22">
        <v>1.6E-2</v>
      </c>
      <c r="AB165">
        <v>76.81</v>
      </c>
      <c r="AC165" t="s">
        <v>107</v>
      </c>
      <c r="AJ165">
        <v>3.4000000000000002E-2</v>
      </c>
      <c r="AK165">
        <v>2E-3</v>
      </c>
      <c r="AL165">
        <v>94</v>
      </c>
      <c r="AQ165" t="s">
        <v>87</v>
      </c>
      <c r="AR165" t="s">
        <v>88</v>
      </c>
      <c r="AS165" t="s">
        <v>88</v>
      </c>
      <c r="AV165" t="s">
        <v>235</v>
      </c>
      <c r="AW165" s="29" t="s">
        <v>845</v>
      </c>
      <c r="BD165" t="s">
        <v>87</v>
      </c>
      <c r="BE165" s="17">
        <v>0.61</v>
      </c>
      <c r="BF165" s="38">
        <v>0.14000000000000001</v>
      </c>
      <c r="BG165" s="21">
        <v>0.47</v>
      </c>
      <c r="BH165">
        <v>77</v>
      </c>
      <c r="BP165" s="13"/>
      <c r="BS165">
        <v>18210000</v>
      </c>
      <c r="BY165">
        <v>0</v>
      </c>
      <c r="BZ165">
        <v>1.5</v>
      </c>
      <c r="CA165" t="s">
        <v>842</v>
      </c>
      <c r="CB165" t="s">
        <v>96</v>
      </c>
      <c r="CC165" t="s">
        <v>95</v>
      </c>
      <c r="CF165" t="s">
        <v>849</v>
      </c>
      <c r="CG165">
        <v>8.83</v>
      </c>
      <c r="CK165" t="s">
        <v>104</v>
      </c>
      <c r="CL165" t="s">
        <v>838</v>
      </c>
      <c r="CN165" t="s">
        <v>220</v>
      </c>
      <c r="CO165" t="s">
        <v>261</v>
      </c>
      <c r="CS165" t="s">
        <v>847</v>
      </c>
      <c r="CU165" t="s">
        <v>840</v>
      </c>
      <c r="CX165" t="s">
        <v>88</v>
      </c>
      <c r="CY165" s="24" t="s">
        <v>841</v>
      </c>
    </row>
    <row r="166" spans="1:103" x14ac:dyDescent="0.35">
      <c r="A166">
        <v>198</v>
      </c>
      <c r="B166" s="1">
        <v>177</v>
      </c>
      <c r="C166" t="s">
        <v>140</v>
      </c>
      <c r="D166">
        <v>2019</v>
      </c>
      <c r="E166" t="s">
        <v>564</v>
      </c>
      <c r="G166" t="s">
        <v>215</v>
      </c>
      <c r="I166" t="s">
        <v>565</v>
      </c>
      <c r="J166">
        <v>37.94</v>
      </c>
      <c r="K166">
        <v>34.654000000000003</v>
      </c>
      <c r="P166" t="s">
        <v>182</v>
      </c>
      <c r="Q166">
        <v>0</v>
      </c>
      <c r="R166" t="s">
        <v>566</v>
      </c>
      <c r="T166" t="s">
        <v>525</v>
      </c>
      <c r="V166" t="s">
        <v>187</v>
      </c>
      <c r="W166" s="30" t="s">
        <v>215</v>
      </c>
      <c r="Y166" t="s">
        <v>87</v>
      </c>
      <c r="Z166" s="22">
        <v>5.4</v>
      </c>
      <c r="AA166" s="22">
        <v>3.8</v>
      </c>
      <c r="AB166" s="36">
        <v>29.63</v>
      </c>
      <c r="AC166" t="s">
        <v>277</v>
      </c>
      <c r="AF166">
        <v>2.5</v>
      </c>
      <c r="AI166">
        <v>2</v>
      </c>
      <c r="AQ166" t="s">
        <v>87</v>
      </c>
      <c r="AR166" t="s">
        <v>88</v>
      </c>
      <c r="AS166" t="s">
        <v>87</v>
      </c>
      <c r="AT166">
        <v>7.29</v>
      </c>
      <c r="AU166">
        <v>7.6</v>
      </c>
      <c r="AY166">
        <v>613200</v>
      </c>
      <c r="BA166">
        <v>571225</v>
      </c>
      <c r="BD166" t="s">
        <v>87</v>
      </c>
      <c r="BE166">
        <v>1387</v>
      </c>
      <c r="BG166">
        <v>255.5</v>
      </c>
      <c r="BH166">
        <v>21</v>
      </c>
      <c r="BX166" t="s">
        <v>622</v>
      </c>
      <c r="BY166" t="s">
        <v>96</v>
      </c>
      <c r="CC166">
        <v>256.8</v>
      </c>
      <c r="CD166">
        <v>1752</v>
      </c>
      <c r="CY166" s="24" t="s">
        <v>881</v>
      </c>
    </row>
    <row r="167" spans="1:103" x14ac:dyDescent="0.35">
      <c r="A167">
        <v>199</v>
      </c>
      <c r="B167" s="1">
        <v>178</v>
      </c>
      <c r="C167" t="s">
        <v>137</v>
      </c>
      <c r="D167">
        <v>2019</v>
      </c>
      <c r="E167" t="s">
        <v>907</v>
      </c>
      <c r="G167" t="s">
        <v>742</v>
      </c>
      <c r="H167">
        <v>1</v>
      </c>
      <c r="I167" t="s">
        <v>197</v>
      </c>
      <c r="J167">
        <v>59.234000000000002</v>
      </c>
      <c r="K167">
        <v>17.712</v>
      </c>
      <c r="M167">
        <v>6.8</v>
      </c>
      <c r="N167">
        <v>593</v>
      </c>
      <c r="O167" t="s">
        <v>267</v>
      </c>
      <c r="R167" t="s">
        <v>220</v>
      </c>
      <c r="S167" s="24" t="s">
        <v>82</v>
      </c>
      <c r="T167" t="s">
        <v>354</v>
      </c>
      <c r="V167" t="s">
        <v>187</v>
      </c>
      <c r="W167" t="s">
        <v>742</v>
      </c>
      <c r="Y167" t="s">
        <v>87</v>
      </c>
      <c r="Z167" s="22"/>
      <c r="AA167" s="22"/>
      <c r="AQ167" t="s">
        <v>88</v>
      </c>
      <c r="AR167" t="s">
        <v>88</v>
      </c>
      <c r="AS167" t="s">
        <v>87</v>
      </c>
      <c r="AV167" t="s">
        <v>231</v>
      </c>
      <c r="AW167" t="s">
        <v>742</v>
      </c>
      <c r="AX167" t="s">
        <v>523</v>
      </c>
      <c r="BD167" t="s">
        <v>87</v>
      </c>
      <c r="BH167">
        <v>36</v>
      </c>
      <c r="BP167">
        <v>800</v>
      </c>
      <c r="BQ167">
        <v>25.6</v>
      </c>
      <c r="BR167">
        <v>0.3</v>
      </c>
      <c r="BV167">
        <v>0.3</v>
      </c>
      <c r="BW167">
        <v>1</v>
      </c>
      <c r="BX167" t="s">
        <v>741</v>
      </c>
      <c r="BY167" t="s">
        <v>96</v>
      </c>
      <c r="CC167">
        <v>3.75</v>
      </c>
      <c r="CE167">
        <v>14</v>
      </c>
      <c r="CI167" t="s">
        <v>265</v>
      </c>
      <c r="CQ167" t="s">
        <v>743</v>
      </c>
      <c r="CY167" s="24"/>
    </row>
    <row r="168" spans="1:103" x14ac:dyDescent="0.35">
      <c r="A168">
        <v>201</v>
      </c>
      <c r="B168" s="1">
        <v>185</v>
      </c>
      <c r="C168" t="s">
        <v>136</v>
      </c>
      <c r="D168">
        <v>2019</v>
      </c>
      <c r="E168" t="s">
        <v>493</v>
      </c>
      <c r="G168" t="s">
        <v>608</v>
      </c>
      <c r="H168">
        <v>10</v>
      </c>
      <c r="I168" t="s">
        <v>197</v>
      </c>
      <c r="J168">
        <v>59.213999999999999</v>
      </c>
      <c r="K168">
        <v>15.212</v>
      </c>
      <c r="N168" t="s">
        <v>775</v>
      </c>
      <c r="R168" t="s">
        <v>771</v>
      </c>
      <c r="T168" t="s">
        <v>245</v>
      </c>
      <c r="V168" t="s">
        <v>187</v>
      </c>
      <c r="W168" t="s">
        <v>608</v>
      </c>
      <c r="Y168" t="s">
        <v>87</v>
      </c>
      <c r="Z168" s="22">
        <v>3.5</v>
      </c>
      <c r="AA168" s="22">
        <v>5</v>
      </c>
      <c r="AB168">
        <v>98.5</v>
      </c>
      <c r="AC168" t="s">
        <v>777</v>
      </c>
      <c r="AQ168" t="s">
        <v>88</v>
      </c>
      <c r="AR168" t="s">
        <v>88</v>
      </c>
      <c r="AS168" t="s">
        <v>87</v>
      </c>
      <c r="AT168">
        <v>7.8</v>
      </c>
      <c r="AU168">
        <v>8.1</v>
      </c>
      <c r="AV168" t="s">
        <v>235</v>
      </c>
      <c r="AW168" t="s">
        <v>608</v>
      </c>
      <c r="AY168" t="s">
        <v>778</v>
      </c>
      <c r="BA168" t="s">
        <v>779</v>
      </c>
      <c r="BD168" t="s">
        <v>87</v>
      </c>
      <c r="BH168">
        <v>98.1</v>
      </c>
      <c r="BP168">
        <v>80000</v>
      </c>
      <c r="BV168">
        <v>0.4</v>
      </c>
      <c r="BX168" t="s">
        <v>770</v>
      </c>
      <c r="CH168" t="s">
        <v>104</v>
      </c>
      <c r="CI168" t="s">
        <v>776</v>
      </c>
      <c r="CY168" s="24"/>
    </row>
    <row r="169" spans="1:103" x14ac:dyDescent="0.35">
      <c r="A169">
        <v>215</v>
      </c>
      <c r="B169" s="1">
        <v>199</v>
      </c>
      <c r="C169" t="s">
        <v>161</v>
      </c>
      <c r="D169">
        <v>2014</v>
      </c>
      <c r="E169" t="s">
        <v>808</v>
      </c>
      <c r="G169" t="s">
        <v>810</v>
      </c>
      <c r="H169">
        <v>3</v>
      </c>
      <c r="I169" t="s">
        <v>203</v>
      </c>
      <c r="J169">
        <v>40.103999999999999</v>
      </c>
      <c r="K169">
        <v>116.71</v>
      </c>
      <c r="T169" t="s">
        <v>354</v>
      </c>
      <c r="W169" s="30" t="s">
        <v>810</v>
      </c>
      <c r="Y169" t="s">
        <v>87</v>
      </c>
      <c r="Z169" s="22">
        <v>0.22</v>
      </c>
      <c r="AA169" s="22">
        <v>0.03</v>
      </c>
      <c r="AB169" s="36">
        <v>86.36</v>
      </c>
      <c r="AC169" s="22" t="s">
        <v>277</v>
      </c>
      <c r="AD169" s="22"/>
      <c r="AQ169" t="s">
        <v>88</v>
      </c>
      <c r="AR169" t="s">
        <v>88</v>
      </c>
      <c r="AS169" t="s">
        <v>87</v>
      </c>
      <c r="AT169">
        <v>8.09</v>
      </c>
      <c r="AU169">
        <v>6.96</v>
      </c>
      <c r="BG169">
        <v>105.85</v>
      </c>
      <c r="BP169">
        <v>940</v>
      </c>
      <c r="BT169">
        <v>9</v>
      </c>
      <c r="BV169">
        <v>0.65</v>
      </c>
      <c r="BW169">
        <v>1.45</v>
      </c>
      <c r="BX169" t="s">
        <v>811</v>
      </c>
      <c r="BY169" t="s">
        <v>96</v>
      </c>
      <c r="CC169">
        <v>417.2</v>
      </c>
      <c r="CI169" t="s">
        <v>809</v>
      </c>
      <c r="CO169" t="s">
        <v>261</v>
      </c>
      <c r="CR169" t="s">
        <v>83</v>
      </c>
      <c r="CY169" s="24" t="s">
        <v>798</v>
      </c>
    </row>
    <row r="170" spans="1:103" x14ac:dyDescent="0.35">
      <c r="A170">
        <v>216</v>
      </c>
      <c r="B170" s="1">
        <v>200</v>
      </c>
      <c r="C170" t="s">
        <v>125</v>
      </c>
      <c r="D170">
        <v>2020</v>
      </c>
      <c r="E170" t="s">
        <v>248</v>
      </c>
      <c r="G170" t="s">
        <v>607</v>
      </c>
      <c r="H170">
        <v>16</v>
      </c>
      <c r="I170" t="s">
        <v>69</v>
      </c>
      <c r="J170" s="14">
        <v>26.397279999999999</v>
      </c>
      <c r="K170" s="14">
        <v>-80.524259999999998</v>
      </c>
      <c r="O170" t="s">
        <v>80</v>
      </c>
      <c r="R170" t="s">
        <v>220</v>
      </c>
      <c r="S170" s="24" t="s">
        <v>82</v>
      </c>
      <c r="W170" t="s">
        <v>607</v>
      </c>
      <c r="Y170" t="s">
        <v>87</v>
      </c>
      <c r="Z170" s="22">
        <v>9.1999999999999998E-2</v>
      </c>
      <c r="AA170" s="22">
        <v>1.2999999999999999E-2</v>
      </c>
      <c r="AB170">
        <v>85</v>
      </c>
      <c r="AC170" t="s">
        <v>107</v>
      </c>
      <c r="AQ170" t="s">
        <v>611</v>
      </c>
      <c r="AR170" t="s">
        <v>87</v>
      </c>
      <c r="AS170" t="s">
        <v>87</v>
      </c>
      <c r="AV170" t="s">
        <v>235</v>
      </c>
      <c r="AW170" t="s">
        <v>607</v>
      </c>
      <c r="AY170">
        <v>81000000</v>
      </c>
      <c r="BA170">
        <v>81000000</v>
      </c>
      <c r="BE170" s="23">
        <v>0.91</v>
      </c>
      <c r="BF170" s="36">
        <v>0.13</v>
      </c>
      <c r="BG170">
        <v>0.78</v>
      </c>
      <c r="BH170">
        <v>85</v>
      </c>
      <c r="BI170" s="23">
        <v>30</v>
      </c>
      <c r="BP170">
        <v>7450000</v>
      </c>
      <c r="BU170">
        <v>0.37</v>
      </c>
      <c r="BX170" t="s">
        <v>622</v>
      </c>
      <c r="BY170" t="s">
        <v>96</v>
      </c>
      <c r="CC170">
        <v>384</v>
      </c>
      <c r="CD170">
        <v>9.49</v>
      </c>
      <c r="CQ170" t="s">
        <v>612</v>
      </c>
      <c r="CY170" s="24" t="s">
        <v>613</v>
      </c>
    </row>
    <row r="171" spans="1:103" x14ac:dyDescent="0.35">
      <c r="A171">
        <v>217</v>
      </c>
      <c r="B171" s="1">
        <v>200</v>
      </c>
      <c r="C171" t="s">
        <v>125</v>
      </c>
      <c r="D171">
        <v>2020</v>
      </c>
      <c r="E171" t="s">
        <v>249</v>
      </c>
      <c r="G171" t="s">
        <v>607</v>
      </c>
      <c r="H171">
        <v>16</v>
      </c>
      <c r="I171" t="s">
        <v>69</v>
      </c>
      <c r="J171" s="14">
        <v>26.397279999999999</v>
      </c>
      <c r="K171" s="14">
        <v>-80.524259999999998</v>
      </c>
      <c r="O171" t="s">
        <v>80</v>
      </c>
      <c r="R171" t="s">
        <v>220</v>
      </c>
      <c r="S171" s="24" t="s">
        <v>82</v>
      </c>
      <c r="W171" t="s">
        <v>607</v>
      </c>
      <c r="Y171" t="s">
        <v>87</v>
      </c>
      <c r="Z171" s="22">
        <v>0.104</v>
      </c>
      <c r="AA171" s="22">
        <v>2.7E-2</v>
      </c>
      <c r="AB171">
        <v>75</v>
      </c>
      <c r="AC171" t="s">
        <v>107</v>
      </c>
      <c r="AQ171" t="s">
        <v>611</v>
      </c>
      <c r="AR171" t="s">
        <v>87</v>
      </c>
      <c r="AS171" t="s">
        <v>87</v>
      </c>
      <c r="AV171" t="s">
        <v>235</v>
      </c>
      <c r="AW171" t="s">
        <v>607</v>
      </c>
      <c r="AY171">
        <v>155000000</v>
      </c>
      <c r="BA171">
        <v>142000000</v>
      </c>
      <c r="BE171" s="23">
        <v>1.57</v>
      </c>
      <c r="BF171" s="36">
        <v>0.37000000000000011</v>
      </c>
      <c r="BG171">
        <v>1.2</v>
      </c>
      <c r="BH171">
        <v>76</v>
      </c>
      <c r="BI171" s="23">
        <v>26</v>
      </c>
      <c r="BP171">
        <v>9600000</v>
      </c>
      <c r="BU171">
        <v>0.52</v>
      </c>
      <c r="BX171" t="s">
        <v>623</v>
      </c>
      <c r="BY171" t="s">
        <v>96</v>
      </c>
      <c r="BZ171" t="s">
        <v>95</v>
      </c>
      <c r="CC171">
        <v>360</v>
      </c>
      <c r="CD171">
        <v>14.6</v>
      </c>
      <c r="CQ171" t="s">
        <v>612</v>
      </c>
      <c r="CY171" s="24" t="s">
        <v>613</v>
      </c>
    </row>
    <row r="172" spans="1:103" x14ac:dyDescent="0.35">
      <c r="A172">
        <v>218</v>
      </c>
      <c r="B172" s="1">
        <v>200</v>
      </c>
      <c r="C172" t="s">
        <v>125</v>
      </c>
      <c r="D172">
        <v>2020</v>
      </c>
      <c r="E172" t="s">
        <v>250</v>
      </c>
      <c r="G172" t="s">
        <v>607</v>
      </c>
      <c r="H172">
        <v>16</v>
      </c>
      <c r="I172" t="s">
        <v>69</v>
      </c>
      <c r="J172" s="14">
        <v>26.397279999999999</v>
      </c>
      <c r="K172" s="14">
        <v>-80.524259999999998</v>
      </c>
      <c r="O172" t="s">
        <v>80</v>
      </c>
      <c r="R172" t="s">
        <v>220</v>
      </c>
      <c r="S172" s="24" t="s">
        <v>82</v>
      </c>
      <c r="W172" t="s">
        <v>607</v>
      </c>
      <c r="Y172" t="s">
        <v>87</v>
      </c>
      <c r="Z172" s="22">
        <v>9.4E-2</v>
      </c>
      <c r="AA172" s="22">
        <v>1.7999999999999999E-2</v>
      </c>
      <c r="AB172">
        <v>81</v>
      </c>
      <c r="AC172" t="s">
        <v>107</v>
      </c>
      <c r="AQ172" t="s">
        <v>611</v>
      </c>
      <c r="AR172" t="s">
        <v>87</v>
      </c>
      <c r="AS172" t="s">
        <v>87</v>
      </c>
      <c r="AV172" t="s">
        <v>235</v>
      </c>
      <c r="AW172" t="s">
        <v>607</v>
      </c>
      <c r="AY172">
        <v>145000000</v>
      </c>
      <c r="BA172">
        <v>150000000</v>
      </c>
      <c r="BE172" s="23">
        <v>1.29</v>
      </c>
      <c r="BF172" s="36">
        <v>0.26</v>
      </c>
      <c r="BG172">
        <v>1.03</v>
      </c>
      <c r="BH172">
        <v>80</v>
      </c>
      <c r="BI172" s="23">
        <v>30</v>
      </c>
      <c r="BP172">
        <v>9290000</v>
      </c>
      <c r="BU172">
        <v>0.55000000000000004</v>
      </c>
      <c r="BX172" t="s">
        <v>616</v>
      </c>
      <c r="BY172" t="s">
        <v>95</v>
      </c>
      <c r="CC172">
        <v>360</v>
      </c>
      <c r="CD172">
        <v>14.234999999999999</v>
      </c>
      <c r="CQ172" t="s">
        <v>612</v>
      </c>
      <c r="CY172" s="24" t="s">
        <v>613</v>
      </c>
    </row>
    <row r="173" spans="1:103" x14ac:dyDescent="0.35">
      <c r="A173">
        <v>219</v>
      </c>
      <c r="B173" s="1">
        <v>200</v>
      </c>
      <c r="C173" t="s">
        <v>125</v>
      </c>
      <c r="D173">
        <v>2020</v>
      </c>
      <c r="E173" s="26" t="s">
        <v>251</v>
      </c>
      <c r="G173" t="s">
        <v>609</v>
      </c>
      <c r="H173">
        <v>12</v>
      </c>
      <c r="I173" t="s">
        <v>69</v>
      </c>
      <c r="J173" s="14">
        <v>26.36627</v>
      </c>
      <c r="K173" s="14">
        <v>-80.638739999999999</v>
      </c>
      <c r="O173" t="s">
        <v>80</v>
      </c>
      <c r="R173" t="s">
        <v>220</v>
      </c>
      <c r="S173" s="24" t="s">
        <v>82</v>
      </c>
      <c r="W173" t="s">
        <v>609</v>
      </c>
      <c r="Y173" t="s">
        <v>87</v>
      </c>
      <c r="Z173" s="22">
        <v>8.2000000000000003E-2</v>
      </c>
      <c r="AA173" s="22">
        <v>1.6E-2</v>
      </c>
      <c r="AB173">
        <v>81</v>
      </c>
      <c r="AC173" t="s">
        <v>107</v>
      </c>
      <c r="AQ173" t="s">
        <v>611</v>
      </c>
      <c r="AR173" t="s">
        <v>87</v>
      </c>
      <c r="AS173" t="s">
        <v>87</v>
      </c>
      <c r="AV173" t="s">
        <v>235</v>
      </c>
      <c r="AW173" t="s">
        <v>609</v>
      </c>
      <c r="AY173">
        <v>254000000</v>
      </c>
      <c r="BA173">
        <v>258000000</v>
      </c>
      <c r="BE173" s="23">
        <v>0.77</v>
      </c>
      <c r="BF173" s="36">
        <v>0.17000000000000004</v>
      </c>
      <c r="BG173">
        <v>0.6</v>
      </c>
      <c r="BH173">
        <v>75</v>
      </c>
      <c r="BI173" s="23">
        <v>19</v>
      </c>
      <c r="BP173">
        <v>26210000</v>
      </c>
      <c r="BT173">
        <v>2</v>
      </c>
      <c r="BU173">
        <v>0.55000000000000004</v>
      </c>
      <c r="BX173" t="s">
        <v>623</v>
      </c>
      <c r="BY173" t="s">
        <v>96</v>
      </c>
      <c r="BZ173" t="s">
        <v>95</v>
      </c>
      <c r="CC173">
        <v>696</v>
      </c>
      <c r="CD173">
        <v>8.3949999999999996</v>
      </c>
      <c r="CQ173" t="s">
        <v>612</v>
      </c>
      <c r="CY173" s="24" t="s">
        <v>613</v>
      </c>
    </row>
    <row r="174" spans="1:103" x14ac:dyDescent="0.35">
      <c r="A174">
        <v>220</v>
      </c>
      <c r="B174" s="1">
        <v>200</v>
      </c>
      <c r="C174" t="s">
        <v>125</v>
      </c>
      <c r="D174">
        <v>2020</v>
      </c>
      <c r="E174" s="27" t="s">
        <v>601</v>
      </c>
      <c r="G174" t="s">
        <v>609</v>
      </c>
      <c r="H174">
        <v>12</v>
      </c>
      <c r="I174" t="s">
        <v>69</v>
      </c>
      <c r="J174" s="14">
        <v>26.36627</v>
      </c>
      <c r="K174" s="14">
        <v>-80.638739999999999</v>
      </c>
      <c r="O174" t="s">
        <v>80</v>
      </c>
      <c r="R174" t="s">
        <v>220</v>
      </c>
      <c r="S174" s="24" t="s">
        <v>82</v>
      </c>
      <c r="W174" t="s">
        <v>609</v>
      </c>
      <c r="Y174" t="s">
        <v>87</v>
      </c>
      <c r="Z174" s="22">
        <v>8.2000000000000003E-2</v>
      </c>
      <c r="AA174" s="22">
        <v>3.2000000000000001E-2</v>
      </c>
      <c r="AB174">
        <v>61</v>
      </c>
      <c r="AC174" t="s">
        <v>107</v>
      </c>
      <c r="AQ174" t="s">
        <v>611</v>
      </c>
      <c r="AR174" t="s">
        <v>87</v>
      </c>
      <c r="AS174" t="s">
        <v>87</v>
      </c>
      <c r="AV174" t="s">
        <v>235</v>
      </c>
      <c r="AW174" t="s">
        <v>609</v>
      </c>
      <c r="AY174">
        <v>235000000</v>
      </c>
      <c r="BA174">
        <v>248000000</v>
      </c>
      <c r="BE174" s="23">
        <v>1.61</v>
      </c>
      <c r="BF174" s="36">
        <v>0.71000000000000008</v>
      </c>
      <c r="BG174">
        <v>0.9</v>
      </c>
      <c r="BH174">
        <v>56</v>
      </c>
      <c r="BI174" s="23">
        <v>22</v>
      </c>
      <c r="BP174">
        <v>12220000</v>
      </c>
      <c r="BT174">
        <v>1</v>
      </c>
      <c r="BU174">
        <v>0.61</v>
      </c>
      <c r="BX174" t="s">
        <v>622</v>
      </c>
      <c r="BY174" t="s">
        <v>96</v>
      </c>
      <c r="CC174">
        <v>336</v>
      </c>
      <c r="CD174">
        <v>17.885000000000002</v>
      </c>
      <c r="CQ174" t="s">
        <v>612</v>
      </c>
      <c r="CY174" s="24" t="s">
        <v>613</v>
      </c>
    </row>
    <row r="175" spans="1:103" x14ac:dyDescent="0.35">
      <c r="A175">
        <v>221</v>
      </c>
      <c r="B175" s="1">
        <v>200</v>
      </c>
      <c r="C175" t="s">
        <v>125</v>
      </c>
      <c r="D175">
        <v>2020</v>
      </c>
      <c r="E175" s="27" t="s">
        <v>602</v>
      </c>
      <c r="G175" t="s">
        <v>609</v>
      </c>
      <c r="H175">
        <v>12</v>
      </c>
      <c r="I175" t="s">
        <v>69</v>
      </c>
      <c r="J175" s="14">
        <v>26.36627</v>
      </c>
      <c r="K175" s="14">
        <v>-80.638739999999999</v>
      </c>
      <c r="O175" t="s">
        <v>80</v>
      </c>
      <c r="R175" t="s">
        <v>220</v>
      </c>
      <c r="S175" s="24" t="s">
        <v>82</v>
      </c>
      <c r="W175" t="s">
        <v>609</v>
      </c>
      <c r="Y175" t="s">
        <v>87</v>
      </c>
      <c r="Z175" s="22">
        <v>3.2000000000000001E-2</v>
      </c>
      <c r="AA175" s="22">
        <v>1.6E-2</v>
      </c>
      <c r="AB175">
        <v>50</v>
      </c>
      <c r="AC175" t="s">
        <v>107</v>
      </c>
      <c r="AQ175" t="s">
        <v>611</v>
      </c>
      <c r="AR175" t="s">
        <v>87</v>
      </c>
      <c r="AS175" t="s">
        <v>87</v>
      </c>
      <c r="AV175" t="s">
        <v>235</v>
      </c>
      <c r="AW175" t="s">
        <v>609</v>
      </c>
      <c r="AY175">
        <v>245000000</v>
      </c>
      <c r="BA175">
        <v>236000000</v>
      </c>
      <c r="BE175" s="23">
        <v>0.61</v>
      </c>
      <c r="BF175" s="36">
        <v>0.26</v>
      </c>
      <c r="BG175">
        <v>0.35</v>
      </c>
      <c r="BH175">
        <v>54</v>
      </c>
      <c r="BI175" s="23">
        <v>14</v>
      </c>
      <c r="BP175">
        <v>13990000</v>
      </c>
      <c r="BT175">
        <v>1</v>
      </c>
      <c r="BU175">
        <v>0.49</v>
      </c>
      <c r="BX175" t="s">
        <v>623</v>
      </c>
      <c r="BY175" t="s">
        <v>96</v>
      </c>
      <c r="BZ175" t="s">
        <v>95</v>
      </c>
      <c r="CC175">
        <v>336</v>
      </c>
      <c r="CD175">
        <v>16.060000000000002</v>
      </c>
      <c r="CQ175" t="s">
        <v>612</v>
      </c>
      <c r="CY175" s="24" t="s">
        <v>613</v>
      </c>
    </row>
    <row r="176" spans="1:103" x14ac:dyDescent="0.35">
      <c r="A176">
        <v>222</v>
      </c>
      <c r="B176" s="1">
        <v>200</v>
      </c>
      <c r="C176" t="s">
        <v>125</v>
      </c>
      <c r="D176">
        <v>2020</v>
      </c>
      <c r="E176" s="26" t="s">
        <v>252</v>
      </c>
      <c r="G176" t="s">
        <v>609</v>
      </c>
      <c r="H176">
        <v>12</v>
      </c>
      <c r="I176" t="s">
        <v>69</v>
      </c>
      <c r="J176" s="14">
        <v>26.36627</v>
      </c>
      <c r="K176" s="14">
        <v>-80.638739999999999</v>
      </c>
      <c r="O176" t="s">
        <v>80</v>
      </c>
      <c r="R176" t="s">
        <v>220</v>
      </c>
      <c r="S176" s="24" t="s">
        <v>82</v>
      </c>
      <c r="W176" t="s">
        <v>609</v>
      </c>
      <c r="Y176" t="s">
        <v>87</v>
      </c>
      <c r="Z176" s="22">
        <v>6.5000000000000002E-2</v>
      </c>
      <c r="AA176" s="22">
        <v>1.9E-2</v>
      </c>
      <c r="AB176">
        <v>71</v>
      </c>
      <c r="AC176" t="s">
        <v>107</v>
      </c>
      <c r="AQ176" t="s">
        <v>611</v>
      </c>
      <c r="AR176" t="s">
        <v>87</v>
      </c>
      <c r="AS176" t="s">
        <v>87</v>
      </c>
      <c r="AV176" t="s">
        <v>235</v>
      </c>
      <c r="AW176" t="s">
        <v>609</v>
      </c>
      <c r="AY176">
        <v>208000000</v>
      </c>
      <c r="BA176">
        <v>199000000</v>
      </c>
      <c r="BE176" s="23">
        <v>0.64</v>
      </c>
      <c r="BF176" s="36">
        <v>0.2</v>
      </c>
      <c r="BG176">
        <v>0.44</v>
      </c>
      <c r="BH176">
        <v>64</v>
      </c>
      <c r="BI176" s="23">
        <v>14</v>
      </c>
      <c r="BP176">
        <v>21650000</v>
      </c>
      <c r="BT176">
        <v>2</v>
      </c>
      <c r="BU176">
        <v>0.55000000000000004</v>
      </c>
      <c r="BX176" t="s">
        <v>623</v>
      </c>
      <c r="BY176" t="s">
        <v>96</v>
      </c>
      <c r="BZ176" t="s">
        <v>95</v>
      </c>
      <c r="CC176">
        <v>672</v>
      </c>
      <c r="CD176">
        <v>8.0300000000000011</v>
      </c>
      <c r="CQ176" t="s">
        <v>612</v>
      </c>
      <c r="CY176" s="24" t="s">
        <v>613</v>
      </c>
    </row>
    <row r="177" spans="1:103" x14ac:dyDescent="0.35">
      <c r="A177">
        <v>223</v>
      </c>
      <c r="B177" s="1">
        <v>200</v>
      </c>
      <c r="C177" t="s">
        <v>125</v>
      </c>
      <c r="D177">
        <v>2020</v>
      </c>
      <c r="E177" s="27" t="s">
        <v>603</v>
      </c>
      <c r="G177" t="s">
        <v>609</v>
      </c>
      <c r="H177">
        <v>12</v>
      </c>
      <c r="I177" t="s">
        <v>69</v>
      </c>
      <c r="J177" s="14">
        <v>26.36627</v>
      </c>
      <c r="K177" s="14">
        <v>-80.638739999999999</v>
      </c>
      <c r="O177" t="s">
        <v>80</v>
      </c>
      <c r="R177" t="s">
        <v>220</v>
      </c>
      <c r="S177" s="24" t="s">
        <v>82</v>
      </c>
      <c r="W177" t="s">
        <v>609</v>
      </c>
      <c r="Y177" t="s">
        <v>87</v>
      </c>
      <c r="Z177" s="22">
        <v>6.5000000000000002E-2</v>
      </c>
      <c r="AA177" s="22">
        <v>2.1999999999999999E-2</v>
      </c>
      <c r="AB177">
        <v>66</v>
      </c>
      <c r="AC177" t="s">
        <v>107</v>
      </c>
      <c r="AQ177" t="s">
        <v>611</v>
      </c>
      <c r="AR177" t="s">
        <v>87</v>
      </c>
      <c r="AS177" t="s">
        <v>87</v>
      </c>
      <c r="AV177" t="s">
        <v>235</v>
      </c>
      <c r="AW177" t="s">
        <v>609</v>
      </c>
      <c r="AY177">
        <v>192000000</v>
      </c>
      <c r="BA177">
        <v>177000000</v>
      </c>
      <c r="BE177" s="23">
        <v>1.31</v>
      </c>
      <c r="BF177" s="36">
        <v>0.42000000000000004</v>
      </c>
      <c r="BG177">
        <v>0.89</v>
      </c>
      <c r="BH177">
        <v>71</v>
      </c>
      <c r="BI177" s="23">
        <v>25</v>
      </c>
      <c r="BP177">
        <v>10140000</v>
      </c>
      <c r="BT177">
        <v>1</v>
      </c>
      <c r="BU177">
        <v>0.61</v>
      </c>
      <c r="BX177" t="s">
        <v>622</v>
      </c>
      <c r="BY177" t="s">
        <v>96</v>
      </c>
      <c r="CC177">
        <v>360</v>
      </c>
      <c r="CD177">
        <v>17.52</v>
      </c>
      <c r="CQ177" t="s">
        <v>612</v>
      </c>
      <c r="CY177" s="24" t="s">
        <v>613</v>
      </c>
    </row>
    <row r="178" spans="1:103" x14ac:dyDescent="0.35">
      <c r="A178">
        <v>224</v>
      </c>
      <c r="B178" s="1">
        <v>200</v>
      </c>
      <c r="C178" t="s">
        <v>125</v>
      </c>
      <c r="D178">
        <v>2020</v>
      </c>
      <c r="E178" s="27" t="s">
        <v>604</v>
      </c>
      <c r="G178" t="s">
        <v>609</v>
      </c>
      <c r="H178">
        <v>12</v>
      </c>
      <c r="I178" t="s">
        <v>69</v>
      </c>
      <c r="J178" s="14">
        <v>26.36627</v>
      </c>
      <c r="K178" s="14">
        <v>-80.638739999999999</v>
      </c>
      <c r="O178" t="s">
        <v>80</v>
      </c>
      <c r="R178" t="s">
        <v>220</v>
      </c>
      <c r="S178" s="24" t="s">
        <v>82</v>
      </c>
      <c r="W178" t="s">
        <v>609</v>
      </c>
      <c r="Y178" t="s">
        <v>87</v>
      </c>
      <c r="Z178" s="22">
        <v>2.1999999999999999E-2</v>
      </c>
      <c r="AA178" s="22">
        <v>1.9E-2</v>
      </c>
      <c r="AB178">
        <v>15</v>
      </c>
      <c r="AC178" t="s">
        <v>107</v>
      </c>
      <c r="AQ178" t="s">
        <v>611</v>
      </c>
      <c r="AR178" t="s">
        <v>87</v>
      </c>
      <c r="AS178" t="s">
        <v>87</v>
      </c>
      <c r="AV178" t="s">
        <v>235</v>
      </c>
      <c r="AW178" t="s">
        <v>609</v>
      </c>
      <c r="AY178">
        <v>167000000</v>
      </c>
      <c r="BA178">
        <v>184000000</v>
      </c>
      <c r="BE178" s="23">
        <v>0.41</v>
      </c>
      <c r="BF178" s="36">
        <v>0.27999999999999997</v>
      </c>
      <c r="BG178">
        <v>0.13</v>
      </c>
      <c r="BH178">
        <v>17</v>
      </c>
      <c r="BI178" s="23">
        <v>3</v>
      </c>
      <c r="BP178">
        <v>11510000</v>
      </c>
      <c r="BT178">
        <v>1</v>
      </c>
      <c r="BU178">
        <v>0.49</v>
      </c>
      <c r="BX178" t="s">
        <v>623</v>
      </c>
      <c r="BY178" t="s">
        <v>96</v>
      </c>
      <c r="BZ178" t="s">
        <v>95</v>
      </c>
      <c r="CC178">
        <v>312</v>
      </c>
      <c r="CD178">
        <v>13.87</v>
      </c>
      <c r="CQ178" t="s">
        <v>612</v>
      </c>
      <c r="CY178" s="24" t="s">
        <v>613</v>
      </c>
    </row>
    <row r="179" spans="1:103" x14ac:dyDescent="0.35">
      <c r="A179">
        <v>225</v>
      </c>
      <c r="B179" s="1">
        <v>200</v>
      </c>
      <c r="C179" t="s">
        <v>125</v>
      </c>
      <c r="D179">
        <v>2020</v>
      </c>
      <c r="E179" s="26" t="s">
        <v>253</v>
      </c>
      <c r="G179" t="s">
        <v>610</v>
      </c>
      <c r="H179">
        <v>9</v>
      </c>
      <c r="I179" t="s">
        <v>69</v>
      </c>
      <c r="J179" s="14">
        <v>26.36627</v>
      </c>
      <c r="K179" s="14">
        <v>-80.638739999999999</v>
      </c>
      <c r="O179" t="s">
        <v>80</v>
      </c>
      <c r="R179" t="s">
        <v>220</v>
      </c>
      <c r="S179" s="24" t="s">
        <v>82</v>
      </c>
      <c r="W179" t="s">
        <v>610</v>
      </c>
      <c r="Y179" t="s">
        <v>87</v>
      </c>
      <c r="Z179" s="22">
        <v>6.4000000000000001E-2</v>
      </c>
      <c r="AA179" s="22">
        <v>1.4999999999999999E-2</v>
      </c>
      <c r="AB179">
        <v>77</v>
      </c>
      <c r="AC179" t="s">
        <v>107</v>
      </c>
      <c r="AQ179" t="s">
        <v>611</v>
      </c>
      <c r="AR179" t="s">
        <v>87</v>
      </c>
      <c r="AS179" t="s">
        <v>87</v>
      </c>
      <c r="AV179" t="s">
        <v>235</v>
      </c>
      <c r="AW179" t="s">
        <v>610</v>
      </c>
      <c r="AY179">
        <v>230000000</v>
      </c>
      <c r="BA179">
        <v>213000000</v>
      </c>
      <c r="BE179" s="23">
        <v>0.71</v>
      </c>
      <c r="BF179" s="36">
        <v>0.14999999999999991</v>
      </c>
      <c r="BG179">
        <v>0.56000000000000005</v>
      </c>
      <c r="BH179">
        <v>78</v>
      </c>
      <c r="BI179" s="23">
        <v>22</v>
      </c>
      <c r="BP179">
        <v>18220000</v>
      </c>
      <c r="BT179">
        <v>2</v>
      </c>
      <c r="BU179">
        <v>0.49</v>
      </c>
      <c r="BX179" t="s">
        <v>623</v>
      </c>
      <c r="BY179" t="s">
        <v>96</v>
      </c>
      <c r="BZ179" t="s">
        <v>95</v>
      </c>
      <c r="CC179">
        <v>432</v>
      </c>
      <c r="CD179">
        <v>10.95</v>
      </c>
      <c r="CQ179" t="s">
        <v>612</v>
      </c>
      <c r="CY179" s="24" t="s">
        <v>613</v>
      </c>
    </row>
    <row r="180" spans="1:103" x14ac:dyDescent="0.35">
      <c r="A180">
        <v>226</v>
      </c>
      <c r="B180" s="1">
        <v>200</v>
      </c>
      <c r="C180" t="s">
        <v>125</v>
      </c>
      <c r="D180">
        <v>2020</v>
      </c>
      <c r="E180" s="27" t="s">
        <v>605</v>
      </c>
      <c r="G180" t="s">
        <v>610</v>
      </c>
      <c r="H180">
        <v>9</v>
      </c>
      <c r="I180" t="s">
        <v>69</v>
      </c>
      <c r="J180" s="14">
        <v>26.36627</v>
      </c>
      <c r="K180" s="14">
        <v>-80.638739999999999</v>
      </c>
      <c r="O180" t="s">
        <v>80</v>
      </c>
      <c r="R180" t="s">
        <v>220</v>
      </c>
      <c r="S180" s="24" t="s">
        <v>82</v>
      </c>
      <c r="W180" t="s">
        <v>610</v>
      </c>
      <c r="Y180" t="s">
        <v>87</v>
      </c>
      <c r="Z180" s="22">
        <v>5.5E-2</v>
      </c>
      <c r="AA180" s="22">
        <v>2.3E-2</v>
      </c>
      <c r="AB180">
        <v>58</v>
      </c>
      <c r="AC180" t="s">
        <v>107</v>
      </c>
      <c r="AQ180" t="s">
        <v>611</v>
      </c>
      <c r="AR180" t="s">
        <v>87</v>
      </c>
      <c r="AS180" t="s">
        <v>87</v>
      </c>
      <c r="AV180" t="s">
        <v>235</v>
      </c>
      <c r="AW180" t="s">
        <v>610</v>
      </c>
      <c r="AY180">
        <v>241000000</v>
      </c>
      <c r="BA180">
        <v>230000000</v>
      </c>
      <c r="BE180" s="23">
        <v>1.34</v>
      </c>
      <c r="BF180" s="36">
        <v>0.53</v>
      </c>
      <c r="BG180">
        <v>0.81</v>
      </c>
      <c r="BH180">
        <v>59</v>
      </c>
      <c r="BI180" s="23">
        <v>25</v>
      </c>
      <c r="BP180">
        <v>9770000</v>
      </c>
      <c r="BT180">
        <v>1</v>
      </c>
      <c r="BU180">
        <v>0.55000000000000004</v>
      </c>
      <c r="BX180" t="s">
        <v>622</v>
      </c>
      <c r="BY180" t="s">
        <v>96</v>
      </c>
      <c r="CC180">
        <v>240</v>
      </c>
      <c r="CD180">
        <v>22.995000000000001</v>
      </c>
      <c r="CQ180" t="s">
        <v>612</v>
      </c>
      <c r="CY180" s="24" t="s">
        <v>613</v>
      </c>
    </row>
    <row r="181" spans="1:103" x14ac:dyDescent="0.35">
      <c r="A181">
        <v>227</v>
      </c>
      <c r="B181" s="1">
        <v>200</v>
      </c>
      <c r="C181" t="s">
        <v>125</v>
      </c>
      <c r="D181">
        <v>2020</v>
      </c>
      <c r="E181" s="27" t="s">
        <v>606</v>
      </c>
      <c r="G181" t="s">
        <v>610</v>
      </c>
      <c r="H181">
        <v>9</v>
      </c>
      <c r="I181" t="s">
        <v>69</v>
      </c>
      <c r="J181" s="14">
        <v>26.36627</v>
      </c>
      <c r="K181" s="14">
        <v>-80.638739999999999</v>
      </c>
      <c r="O181" t="s">
        <v>80</v>
      </c>
      <c r="R181" t="s">
        <v>220</v>
      </c>
      <c r="S181" s="24" t="s">
        <v>82</v>
      </c>
      <c r="W181" t="s">
        <v>610</v>
      </c>
      <c r="Y181" t="s">
        <v>87</v>
      </c>
      <c r="Z181" s="22">
        <v>2.3E-2</v>
      </c>
      <c r="AA181" s="22">
        <v>1.2999999999999999E-2</v>
      </c>
      <c r="AB181">
        <v>45</v>
      </c>
      <c r="AC181" t="s">
        <v>107</v>
      </c>
      <c r="AQ181" t="s">
        <v>611</v>
      </c>
      <c r="AR181" t="s">
        <v>87</v>
      </c>
      <c r="AS181" t="s">
        <v>87</v>
      </c>
      <c r="AV181" t="s">
        <v>235</v>
      </c>
      <c r="AW181" t="s">
        <v>610</v>
      </c>
      <c r="AY181">
        <v>226000000</v>
      </c>
      <c r="BA181">
        <v>225000000</v>
      </c>
      <c r="BE181" s="23">
        <v>0.66</v>
      </c>
      <c r="BF181" s="36">
        <v>0.33</v>
      </c>
      <c r="BG181">
        <v>0.33</v>
      </c>
      <c r="BH181">
        <v>47</v>
      </c>
      <c r="BI181" s="23">
        <v>21</v>
      </c>
      <c r="BP181">
        <v>8450000</v>
      </c>
      <c r="BT181">
        <v>1</v>
      </c>
      <c r="BU181">
        <v>0.46</v>
      </c>
      <c r="BX181" t="s">
        <v>623</v>
      </c>
      <c r="BY181" t="s">
        <v>96</v>
      </c>
      <c r="BZ181" t="s">
        <v>95</v>
      </c>
      <c r="CC181">
        <v>168</v>
      </c>
      <c r="CD181">
        <v>25.185000000000002</v>
      </c>
      <c r="CQ181" t="s">
        <v>612</v>
      </c>
      <c r="CY181" s="24" t="s">
        <v>613</v>
      </c>
    </row>
    <row r="182" spans="1:103" x14ac:dyDescent="0.35">
      <c r="A182">
        <v>228</v>
      </c>
      <c r="B182" s="1">
        <v>202</v>
      </c>
      <c r="C182" t="s">
        <v>118</v>
      </c>
      <c r="D182">
        <v>2016</v>
      </c>
      <c r="E182" t="s">
        <v>374</v>
      </c>
      <c r="G182" s="29" t="s">
        <v>379</v>
      </c>
      <c r="H182">
        <v>2</v>
      </c>
      <c r="I182" t="s">
        <v>375</v>
      </c>
      <c r="J182">
        <v>34.381999999999998</v>
      </c>
      <c r="K182">
        <v>108.851</v>
      </c>
      <c r="P182" t="s">
        <v>183</v>
      </c>
      <c r="Q182">
        <v>0</v>
      </c>
      <c r="R182" s="24" t="s">
        <v>189</v>
      </c>
      <c r="S182" s="24" t="s">
        <v>378</v>
      </c>
      <c r="T182" t="s">
        <v>338</v>
      </c>
      <c r="V182" t="s">
        <v>112</v>
      </c>
      <c r="W182" s="29" t="s">
        <v>379</v>
      </c>
      <c r="Y182" t="s">
        <v>87</v>
      </c>
      <c r="Z182" s="14">
        <v>3.6</v>
      </c>
      <c r="AA182" s="22">
        <v>1.6</v>
      </c>
      <c r="AB182" s="36">
        <v>55.56</v>
      </c>
      <c r="AC182" t="s">
        <v>277</v>
      </c>
      <c r="AF182">
        <v>0.1</v>
      </c>
      <c r="AI182">
        <v>0.1</v>
      </c>
      <c r="AJ182">
        <v>1.6</v>
      </c>
      <c r="AK182">
        <v>1.1000000000000001</v>
      </c>
      <c r="AL182" s="36">
        <v>31.3</v>
      </c>
      <c r="AO182">
        <v>0.1</v>
      </c>
      <c r="AP182">
        <v>0.1</v>
      </c>
      <c r="AQ182" t="s">
        <v>88</v>
      </c>
      <c r="AR182" t="s">
        <v>88</v>
      </c>
      <c r="AS182" t="s">
        <v>87</v>
      </c>
      <c r="AW182" s="29" t="s">
        <v>379</v>
      </c>
      <c r="AX182" t="s">
        <v>366</v>
      </c>
      <c r="AY182">
        <v>32850</v>
      </c>
      <c r="BD182" t="s">
        <v>87</v>
      </c>
      <c r="BE182" s="23">
        <v>124.4</v>
      </c>
      <c r="BF182" s="36">
        <v>53.8</v>
      </c>
      <c r="BG182">
        <v>70.599999999999994</v>
      </c>
      <c r="BH182" s="36">
        <v>56.75</v>
      </c>
      <c r="BI182" s="23"/>
      <c r="BK182">
        <v>55.3</v>
      </c>
      <c r="BL182" s="36">
        <v>37.700000000000003</v>
      </c>
      <c r="BM182">
        <v>17.600000000000001</v>
      </c>
      <c r="BN182" s="36">
        <v>31.82</v>
      </c>
      <c r="BP182" s="13">
        <v>900</v>
      </c>
      <c r="BU182">
        <v>0.4</v>
      </c>
      <c r="BX182" t="s">
        <v>627</v>
      </c>
      <c r="BY182" t="s">
        <v>96</v>
      </c>
      <c r="CD182">
        <v>36.5</v>
      </c>
      <c r="CE182">
        <v>2.25</v>
      </c>
      <c r="CH182" t="s">
        <v>377</v>
      </c>
      <c r="CI182" t="s">
        <v>376</v>
      </c>
      <c r="CR182" t="s">
        <v>417</v>
      </c>
      <c r="CY182" s="24" t="s">
        <v>879</v>
      </c>
    </row>
    <row r="183" spans="1:103" x14ac:dyDescent="0.35">
      <c r="A183">
        <v>30</v>
      </c>
      <c r="B183" s="1">
        <v>217</v>
      </c>
      <c r="C183" t="s">
        <v>151</v>
      </c>
      <c r="D183">
        <v>2021</v>
      </c>
      <c r="E183" t="s">
        <v>490</v>
      </c>
      <c r="G183" t="s">
        <v>427</v>
      </c>
      <c r="H183">
        <v>1</v>
      </c>
      <c r="I183" t="s">
        <v>175</v>
      </c>
      <c r="Q183">
        <v>120</v>
      </c>
      <c r="R183" t="s">
        <v>785</v>
      </c>
      <c r="S183" s="24" t="s">
        <v>378</v>
      </c>
      <c r="T183" t="s">
        <v>354</v>
      </c>
      <c r="V183" t="s">
        <v>187</v>
      </c>
      <c r="W183" t="s">
        <v>427</v>
      </c>
      <c r="Y183" t="s">
        <v>87</v>
      </c>
      <c r="Z183" s="22"/>
      <c r="AA183" s="22"/>
      <c r="AQ183" t="s">
        <v>88</v>
      </c>
      <c r="AR183" t="s">
        <v>88</v>
      </c>
      <c r="AS183" t="s">
        <v>87</v>
      </c>
      <c r="AW183" t="s">
        <v>427</v>
      </c>
      <c r="AY183">
        <v>1324512</v>
      </c>
      <c r="BE183">
        <v>0.38</v>
      </c>
      <c r="BF183" s="36">
        <v>0.22</v>
      </c>
      <c r="BG183">
        <v>0.16</v>
      </c>
      <c r="BH183" s="36">
        <v>42.11</v>
      </c>
      <c r="BK183">
        <v>0.24</v>
      </c>
      <c r="BL183" s="36">
        <v>0.19500000000000001</v>
      </c>
      <c r="BM183">
        <v>4.4999999999999998E-2</v>
      </c>
      <c r="BN183" s="36">
        <v>18.75</v>
      </c>
      <c r="BP183">
        <v>7510</v>
      </c>
      <c r="BU183">
        <v>0.8</v>
      </c>
      <c r="BX183" t="s">
        <v>782</v>
      </c>
      <c r="BY183" t="s">
        <v>96</v>
      </c>
      <c r="BZ183" t="s">
        <v>285</v>
      </c>
      <c r="CC183">
        <v>41.3</v>
      </c>
      <c r="CD183">
        <v>178.85</v>
      </c>
      <c r="CK183" t="s">
        <v>780</v>
      </c>
      <c r="CQ183" t="s">
        <v>781</v>
      </c>
      <c r="CY183" s="24" t="s">
        <v>783</v>
      </c>
    </row>
    <row r="184" spans="1:103" x14ac:dyDescent="0.35">
      <c r="A184">
        <v>36</v>
      </c>
      <c r="B184" s="1">
        <v>223</v>
      </c>
      <c r="C184" t="s">
        <v>152</v>
      </c>
      <c r="D184">
        <v>2023</v>
      </c>
      <c r="E184" t="s">
        <v>487</v>
      </c>
      <c r="G184" t="s">
        <v>593</v>
      </c>
      <c r="H184">
        <v>1</v>
      </c>
      <c r="I184" t="s">
        <v>195</v>
      </c>
      <c r="J184">
        <v>-27.844999999999999</v>
      </c>
      <c r="K184">
        <v>152.96299999999999</v>
      </c>
      <c r="O184" t="s">
        <v>310</v>
      </c>
      <c r="Q184">
        <v>4</v>
      </c>
      <c r="R184" t="s">
        <v>229</v>
      </c>
      <c r="T184" t="s">
        <v>338</v>
      </c>
      <c r="W184" s="30" t="s">
        <v>593</v>
      </c>
      <c r="Y184" t="s">
        <v>87</v>
      </c>
      <c r="Z184" s="22">
        <v>0.14000000000000001</v>
      </c>
      <c r="AA184" s="22">
        <v>0.21</v>
      </c>
      <c r="AB184">
        <v>-40.5</v>
      </c>
      <c r="AC184" t="s">
        <v>277</v>
      </c>
      <c r="AF184">
        <v>0.4</v>
      </c>
      <c r="AI184">
        <v>0.17</v>
      </c>
      <c r="AJ184">
        <v>0.11</v>
      </c>
      <c r="AK184">
        <v>0.17</v>
      </c>
      <c r="AL184">
        <v>-56.4</v>
      </c>
      <c r="AO184">
        <v>0.13</v>
      </c>
      <c r="AP184">
        <v>0.15</v>
      </c>
      <c r="AQ184" t="s">
        <v>88</v>
      </c>
      <c r="AR184" t="s">
        <v>88</v>
      </c>
      <c r="AS184" t="s">
        <v>87</v>
      </c>
      <c r="AT184">
        <v>7.08</v>
      </c>
      <c r="AU184">
        <v>7.25</v>
      </c>
      <c r="AW184" s="30" t="s">
        <v>593</v>
      </c>
      <c r="AY184">
        <v>1204500</v>
      </c>
      <c r="BD184" t="s">
        <v>83</v>
      </c>
      <c r="BH184" s="36">
        <v>-2.44</v>
      </c>
      <c r="BJ184" s="36">
        <v>-1.76</v>
      </c>
      <c r="BP184">
        <v>72700</v>
      </c>
      <c r="BS184">
        <v>3</v>
      </c>
      <c r="BT184">
        <v>8</v>
      </c>
      <c r="BV184">
        <v>10</v>
      </c>
      <c r="BW184">
        <v>24</v>
      </c>
      <c r="BX184" t="s">
        <v>596</v>
      </c>
      <c r="BY184" t="s">
        <v>96</v>
      </c>
      <c r="CC184">
        <v>747</v>
      </c>
      <c r="CD184">
        <v>4.53</v>
      </c>
      <c r="CH184" t="s">
        <v>594</v>
      </c>
      <c r="CI184" t="s">
        <v>595</v>
      </c>
      <c r="CO184" t="s">
        <v>261</v>
      </c>
      <c r="CQ184" t="s">
        <v>597</v>
      </c>
      <c r="CR184" t="s">
        <v>598</v>
      </c>
      <c r="CY184" s="24" t="s">
        <v>716</v>
      </c>
    </row>
    <row r="185" spans="1:103" x14ac:dyDescent="0.35">
      <c r="A185">
        <v>115</v>
      </c>
      <c r="B185" s="1">
        <v>239</v>
      </c>
      <c r="C185" t="s">
        <v>451</v>
      </c>
      <c r="D185">
        <v>2023</v>
      </c>
      <c r="E185" t="s">
        <v>459</v>
      </c>
      <c r="G185" s="30" t="s">
        <v>453</v>
      </c>
      <c r="H185">
        <v>18</v>
      </c>
      <c r="I185" t="s">
        <v>194</v>
      </c>
      <c r="M185">
        <v>6.4</v>
      </c>
      <c r="N185">
        <v>952</v>
      </c>
      <c r="R185" t="s">
        <v>220</v>
      </c>
      <c r="S185" s="24" t="s">
        <v>82</v>
      </c>
      <c r="T185" t="s">
        <v>354</v>
      </c>
      <c r="V185" t="s">
        <v>187</v>
      </c>
      <c r="W185" s="30" t="s">
        <v>453</v>
      </c>
      <c r="Y185" t="s">
        <v>87</v>
      </c>
      <c r="Z185" s="22"/>
      <c r="AA185" s="22"/>
      <c r="AQ185" t="s">
        <v>87</v>
      </c>
      <c r="AR185" t="s">
        <v>88</v>
      </c>
      <c r="AS185" t="s">
        <v>87</v>
      </c>
      <c r="AV185" t="s">
        <v>378</v>
      </c>
      <c r="AW185" s="30" t="s">
        <v>453</v>
      </c>
      <c r="AX185" t="s">
        <v>452</v>
      </c>
      <c r="BG185">
        <v>125</v>
      </c>
      <c r="BH185">
        <v>22</v>
      </c>
      <c r="BJ185">
        <v>287.33999999999997</v>
      </c>
      <c r="BP185">
        <v>2300</v>
      </c>
      <c r="BQ185">
        <v>450</v>
      </c>
      <c r="BR185">
        <v>0.05</v>
      </c>
      <c r="BV185">
        <v>0.5</v>
      </c>
      <c r="BW185">
        <v>1.5</v>
      </c>
      <c r="BX185" t="s">
        <v>634</v>
      </c>
      <c r="BY185" t="s">
        <v>96</v>
      </c>
      <c r="CC185" t="s">
        <v>455</v>
      </c>
      <c r="CK185" t="s">
        <v>458</v>
      </c>
      <c r="CR185" t="s">
        <v>457</v>
      </c>
      <c r="CS185" t="s">
        <v>456</v>
      </c>
      <c r="CY185" s="24" t="s">
        <v>874</v>
      </c>
    </row>
    <row r="186" spans="1:103" x14ac:dyDescent="0.35">
      <c r="A186">
        <v>165</v>
      </c>
      <c r="B186" s="1">
        <v>254</v>
      </c>
      <c r="C186" t="s">
        <v>188</v>
      </c>
      <c r="D186">
        <v>2021</v>
      </c>
      <c r="E186" t="s">
        <v>367</v>
      </c>
      <c r="G186" s="29" t="s">
        <v>368</v>
      </c>
      <c r="H186">
        <v>1</v>
      </c>
      <c r="I186" t="s">
        <v>372</v>
      </c>
      <c r="M186">
        <v>15.3</v>
      </c>
      <c r="N186">
        <v>406</v>
      </c>
      <c r="P186" t="s">
        <v>185</v>
      </c>
      <c r="R186" s="24" t="s">
        <v>229</v>
      </c>
      <c r="S186" s="24" t="s">
        <v>82</v>
      </c>
      <c r="T186" t="s">
        <v>732</v>
      </c>
      <c r="V186" t="s">
        <v>112</v>
      </c>
      <c r="W186" s="29" t="s">
        <v>368</v>
      </c>
      <c r="X186" t="s">
        <v>238</v>
      </c>
      <c r="Y186" t="s">
        <v>87</v>
      </c>
      <c r="Z186" s="14">
        <v>0.92</v>
      </c>
      <c r="AA186" s="22">
        <v>0.46</v>
      </c>
      <c r="AB186">
        <v>50</v>
      </c>
      <c r="AC186" t="s">
        <v>277</v>
      </c>
      <c r="AF186">
        <v>0.24</v>
      </c>
      <c r="AI186">
        <v>0.22</v>
      </c>
      <c r="AJ186">
        <v>0.53</v>
      </c>
      <c r="AK186">
        <v>0.27</v>
      </c>
      <c r="AL186">
        <v>53.3</v>
      </c>
      <c r="AQ186" t="s">
        <v>88</v>
      </c>
      <c r="AR186" t="s">
        <v>88</v>
      </c>
      <c r="AS186" t="s">
        <v>88</v>
      </c>
      <c r="AT186">
        <v>6.91</v>
      </c>
      <c r="AU186">
        <v>7.6</v>
      </c>
      <c r="AV186" t="s">
        <v>336</v>
      </c>
      <c r="AW186" s="29" t="s">
        <v>368</v>
      </c>
      <c r="AX186" t="s">
        <v>359</v>
      </c>
      <c r="BD186" t="s">
        <v>87</v>
      </c>
      <c r="BE186" s="23"/>
      <c r="BG186" s="21">
        <v>156.94999999999999</v>
      </c>
      <c r="BM186">
        <v>131.4</v>
      </c>
      <c r="BN186" s="13"/>
      <c r="BP186" s="13">
        <v>1680</v>
      </c>
      <c r="BQ186">
        <v>170000</v>
      </c>
      <c r="BR186">
        <v>1.9E-2</v>
      </c>
      <c r="BS186">
        <v>3</v>
      </c>
      <c r="BT186">
        <v>3</v>
      </c>
      <c r="BV186">
        <v>0.37</v>
      </c>
      <c r="BW186">
        <v>0.42</v>
      </c>
      <c r="BX186" t="s">
        <v>369</v>
      </c>
      <c r="BY186" t="s">
        <v>96</v>
      </c>
      <c r="BZ186" t="s">
        <v>285</v>
      </c>
      <c r="CC186">
        <v>4.5999999999999996</v>
      </c>
      <c r="CJ186" t="s">
        <v>381</v>
      </c>
      <c r="CR186" s="24" t="s">
        <v>856</v>
      </c>
      <c r="CY186" s="24"/>
    </row>
    <row r="187" spans="1:103" x14ac:dyDescent="0.35">
      <c r="A187">
        <v>179</v>
      </c>
      <c r="B187" s="1">
        <v>262</v>
      </c>
      <c r="C187" t="s">
        <v>117</v>
      </c>
      <c r="D187">
        <v>2023</v>
      </c>
      <c r="E187" t="s">
        <v>363</v>
      </c>
      <c r="G187" s="29" t="s">
        <v>364</v>
      </c>
      <c r="H187">
        <v>6</v>
      </c>
      <c r="I187" t="s">
        <v>371</v>
      </c>
      <c r="J187">
        <v>33.340000000000003</v>
      </c>
      <c r="K187">
        <v>120.035</v>
      </c>
      <c r="O187" t="s">
        <v>310</v>
      </c>
      <c r="P187" t="s">
        <v>182</v>
      </c>
      <c r="R187" s="24"/>
      <c r="T187" t="s">
        <v>354</v>
      </c>
      <c r="W187" s="29" t="s">
        <v>364</v>
      </c>
      <c r="Y187" t="s">
        <v>87</v>
      </c>
      <c r="Z187" s="14">
        <v>0.223</v>
      </c>
      <c r="AA187" s="22">
        <v>0.111</v>
      </c>
      <c r="AB187" s="36">
        <v>50.22</v>
      </c>
      <c r="AC187" s="22" t="s">
        <v>277</v>
      </c>
      <c r="AD187">
        <v>7.0000000000000007E-2</v>
      </c>
      <c r="AE187">
        <v>0.34599999999999997</v>
      </c>
      <c r="AG187">
        <v>3.3799999999999997E-2</v>
      </c>
      <c r="AH187">
        <v>0.19800000000000001</v>
      </c>
      <c r="AQ187" t="s">
        <v>88</v>
      </c>
      <c r="AR187" t="s">
        <v>88</v>
      </c>
      <c r="AS187" t="s">
        <v>87</v>
      </c>
      <c r="AV187" t="s">
        <v>235</v>
      </c>
      <c r="AW187" s="29" t="s">
        <v>364</v>
      </c>
      <c r="AX187" t="s">
        <v>366</v>
      </c>
      <c r="BD187" t="s">
        <v>87</v>
      </c>
      <c r="BE187">
        <v>11.98</v>
      </c>
      <c r="BF187" s="39">
        <v>6.73</v>
      </c>
      <c r="BG187">
        <v>5.25</v>
      </c>
      <c r="BH187" s="36">
        <v>43.82</v>
      </c>
      <c r="BP187" s="13">
        <v>2030000</v>
      </c>
      <c r="BX187" t="s">
        <v>365</v>
      </c>
      <c r="BY187" t="s">
        <v>96</v>
      </c>
      <c r="BZ187" t="s">
        <v>95</v>
      </c>
      <c r="CC187" s="36">
        <v>494</v>
      </c>
      <c r="CD187" s="36">
        <v>51.28</v>
      </c>
      <c r="CR187" s="24"/>
      <c r="CY187" s="24" t="s">
        <v>859</v>
      </c>
    </row>
    <row r="188" spans="1:103" x14ac:dyDescent="0.35">
      <c r="A188">
        <v>202</v>
      </c>
      <c r="B188" s="1">
        <v>290</v>
      </c>
      <c r="C188" t="s">
        <v>126</v>
      </c>
      <c r="D188">
        <v>2023</v>
      </c>
      <c r="E188" t="s">
        <v>586</v>
      </c>
      <c r="G188" t="s">
        <v>421</v>
      </c>
      <c r="H188">
        <v>1</v>
      </c>
      <c r="I188" t="s">
        <v>69</v>
      </c>
      <c r="O188" t="s">
        <v>80</v>
      </c>
      <c r="R188" t="s">
        <v>220</v>
      </c>
      <c r="S188" s="24" t="s">
        <v>82</v>
      </c>
      <c r="T188" t="s">
        <v>338</v>
      </c>
      <c r="V188" t="s">
        <v>187</v>
      </c>
      <c r="W188" t="s">
        <v>421</v>
      </c>
      <c r="Y188" t="s">
        <v>87</v>
      </c>
      <c r="Z188" s="22">
        <v>2.7E-2</v>
      </c>
      <c r="AA188" s="22">
        <v>1.2E-2</v>
      </c>
      <c r="AB188">
        <v>56</v>
      </c>
      <c r="AC188" t="s">
        <v>107</v>
      </c>
      <c r="AQ188" t="s">
        <v>87</v>
      </c>
      <c r="AR188" t="s">
        <v>88</v>
      </c>
      <c r="AS188" t="s">
        <v>88</v>
      </c>
      <c r="AV188" t="s">
        <v>235</v>
      </c>
      <c r="AW188" t="s">
        <v>421</v>
      </c>
      <c r="AX188" t="s">
        <v>429</v>
      </c>
      <c r="AY188">
        <v>3600000</v>
      </c>
      <c r="BA188">
        <v>6400000</v>
      </c>
      <c r="BE188" s="23">
        <v>0.24</v>
      </c>
      <c r="BF188" s="42">
        <v>0.192</v>
      </c>
      <c r="BG188" s="42">
        <v>4.7999999999999987E-2</v>
      </c>
      <c r="BH188" s="39">
        <v>19.999999999999996</v>
      </c>
      <c r="BI188" s="22">
        <f t="shared" ref="BI188:BI200" si="1">BE188-BF188</f>
        <v>4.7999999999999987E-2</v>
      </c>
      <c r="BP188">
        <v>400000</v>
      </c>
      <c r="BT188">
        <v>1</v>
      </c>
      <c r="BU188">
        <v>0.47</v>
      </c>
      <c r="BX188" t="s">
        <v>632</v>
      </c>
      <c r="BY188" t="s">
        <v>393</v>
      </c>
      <c r="CC188">
        <v>139.19999999999999</v>
      </c>
      <c r="CD188">
        <v>8.86</v>
      </c>
      <c r="CH188" t="s">
        <v>104</v>
      </c>
      <c r="CJ188" t="s">
        <v>430</v>
      </c>
      <c r="CK188" t="s">
        <v>220</v>
      </c>
      <c r="CQ188" t="s">
        <v>864</v>
      </c>
      <c r="CY188" s="24" t="s">
        <v>862</v>
      </c>
    </row>
    <row r="189" spans="1:103" x14ac:dyDescent="0.35">
      <c r="A189">
        <v>203</v>
      </c>
      <c r="B189" s="1">
        <v>290</v>
      </c>
      <c r="C189" t="s">
        <v>126</v>
      </c>
      <c r="D189">
        <v>2023</v>
      </c>
      <c r="E189" t="s">
        <v>586</v>
      </c>
      <c r="G189" t="s">
        <v>422</v>
      </c>
      <c r="H189">
        <v>1</v>
      </c>
      <c r="I189" t="s">
        <v>69</v>
      </c>
      <c r="O189" t="s">
        <v>80</v>
      </c>
      <c r="R189" t="s">
        <v>220</v>
      </c>
      <c r="S189" s="24" t="s">
        <v>82</v>
      </c>
      <c r="T189" t="s">
        <v>338</v>
      </c>
      <c r="V189" t="s">
        <v>187</v>
      </c>
      <c r="W189" t="s">
        <v>422</v>
      </c>
      <c r="Y189" t="s">
        <v>87</v>
      </c>
      <c r="Z189" s="22">
        <v>1.4E-2</v>
      </c>
      <c r="AA189" s="22">
        <v>8.0000000000000002E-3</v>
      </c>
      <c r="AB189">
        <v>43</v>
      </c>
      <c r="AC189" t="s">
        <v>107</v>
      </c>
      <c r="AQ189" t="s">
        <v>87</v>
      </c>
      <c r="AR189" t="s">
        <v>88</v>
      </c>
      <c r="AS189" t="s">
        <v>88</v>
      </c>
      <c r="AV189" t="s">
        <v>235</v>
      </c>
      <c r="AW189" t="s">
        <v>422</v>
      </c>
      <c r="AX189" t="s">
        <v>429</v>
      </c>
      <c r="AY189">
        <v>4100000</v>
      </c>
      <c r="BA189">
        <v>7500000</v>
      </c>
      <c r="BE189" s="23">
        <v>0.14000000000000001</v>
      </c>
      <c r="BF189" s="42">
        <v>0.15</v>
      </c>
      <c r="BG189" s="42">
        <v>-9.9999999999999811E-3</v>
      </c>
      <c r="BH189" s="39">
        <v>-7.1428571428571281</v>
      </c>
      <c r="BI189" s="22">
        <f t="shared" si="1"/>
        <v>-9.9999999999999811E-3</v>
      </c>
      <c r="BP189">
        <v>400000</v>
      </c>
      <c r="BT189">
        <v>1</v>
      </c>
      <c r="BU189">
        <v>0.47</v>
      </c>
      <c r="BX189" t="s">
        <v>632</v>
      </c>
      <c r="BY189" t="s">
        <v>393</v>
      </c>
      <c r="CC189">
        <v>141.60000000000002</v>
      </c>
      <c r="CD189">
        <v>10.08</v>
      </c>
      <c r="CH189" t="s">
        <v>104</v>
      </c>
      <c r="CJ189" t="s">
        <v>430</v>
      </c>
      <c r="CK189" t="s">
        <v>220</v>
      </c>
      <c r="CQ189" t="s">
        <v>865</v>
      </c>
      <c r="CY189" s="24" t="s">
        <v>862</v>
      </c>
    </row>
    <row r="190" spans="1:103" x14ac:dyDescent="0.35">
      <c r="A190">
        <v>204</v>
      </c>
      <c r="B190" s="1">
        <v>290</v>
      </c>
      <c r="C190" t="s">
        <v>126</v>
      </c>
      <c r="D190">
        <v>2023</v>
      </c>
      <c r="E190" t="s">
        <v>586</v>
      </c>
      <c r="G190" t="s">
        <v>423</v>
      </c>
      <c r="H190">
        <v>1</v>
      </c>
      <c r="I190" t="s">
        <v>69</v>
      </c>
      <c r="O190" t="s">
        <v>80</v>
      </c>
      <c r="R190" t="s">
        <v>220</v>
      </c>
      <c r="S190" s="24" t="s">
        <v>82</v>
      </c>
      <c r="T190" t="s">
        <v>338</v>
      </c>
      <c r="V190" t="s">
        <v>187</v>
      </c>
      <c r="W190" t="s">
        <v>423</v>
      </c>
      <c r="Y190" t="s">
        <v>87</v>
      </c>
      <c r="Z190" s="22">
        <v>0.02</v>
      </c>
      <c r="AA190" s="22">
        <v>0.01</v>
      </c>
      <c r="AB190">
        <v>50</v>
      </c>
      <c r="AC190" t="s">
        <v>107</v>
      </c>
      <c r="AQ190" t="s">
        <v>87</v>
      </c>
      <c r="AR190" t="s">
        <v>88</v>
      </c>
      <c r="AS190" t="s">
        <v>88</v>
      </c>
      <c r="AV190" t="s">
        <v>235</v>
      </c>
      <c r="AW190" t="s">
        <v>423</v>
      </c>
      <c r="AX190" t="s">
        <v>429</v>
      </c>
      <c r="AY190">
        <v>8700000</v>
      </c>
      <c r="BA190">
        <v>12400000</v>
      </c>
      <c r="BE190" s="23">
        <v>0.42</v>
      </c>
      <c r="BF190" s="42">
        <v>0.31</v>
      </c>
      <c r="BG190" s="42">
        <v>0.10999999999999999</v>
      </c>
      <c r="BH190" s="39">
        <v>26.190476190476186</v>
      </c>
      <c r="BI190" s="22">
        <f t="shared" si="1"/>
        <v>0.10999999999999999</v>
      </c>
      <c r="BP190">
        <v>400000</v>
      </c>
      <c r="BT190">
        <v>1</v>
      </c>
      <c r="BU190">
        <v>0.47</v>
      </c>
      <c r="BX190" t="s">
        <v>632</v>
      </c>
      <c r="BY190" t="s">
        <v>393</v>
      </c>
      <c r="CC190">
        <v>148.80000000000001</v>
      </c>
      <c r="CD190">
        <v>21.14</v>
      </c>
      <c r="CH190" t="s">
        <v>104</v>
      </c>
      <c r="CJ190" t="s">
        <v>430</v>
      </c>
      <c r="CK190" t="s">
        <v>220</v>
      </c>
      <c r="CQ190" t="s">
        <v>867</v>
      </c>
      <c r="CY190" s="24" t="s">
        <v>862</v>
      </c>
    </row>
    <row r="191" spans="1:103" x14ac:dyDescent="0.35">
      <c r="A191">
        <v>205</v>
      </c>
      <c r="B191" s="1">
        <v>290</v>
      </c>
      <c r="C191" t="s">
        <v>126</v>
      </c>
      <c r="D191">
        <v>2023</v>
      </c>
      <c r="E191" t="s">
        <v>586</v>
      </c>
      <c r="G191" t="s">
        <v>258</v>
      </c>
      <c r="H191">
        <v>1</v>
      </c>
      <c r="I191" t="s">
        <v>69</v>
      </c>
      <c r="O191" t="s">
        <v>80</v>
      </c>
      <c r="R191" t="s">
        <v>220</v>
      </c>
      <c r="S191" s="24" t="s">
        <v>82</v>
      </c>
      <c r="T191" t="s">
        <v>338</v>
      </c>
      <c r="V191" t="s">
        <v>187</v>
      </c>
      <c r="W191" t="s">
        <v>258</v>
      </c>
      <c r="Y191" t="s">
        <v>87</v>
      </c>
      <c r="Z191" s="22">
        <v>1.7999999999999999E-2</v>
      </c>
      <c r="AA191" s="22">
        <v>1.0999999999999999E-2</v>
      </c>
      <c r="AB191">
        <v>39</v>
      </c>
      <c r="AC191" t="s">
        <v>107</v>
      </c>
      <c r="AQ191" t="s">
        <v>87</v>
      </c>
      <c r="AR191" t="s">
        <v>88</v>
      </c>
      <c r="AS191" t="s">
        <v>88</v>
      </c>
      <c r="AV191" t="s">
        <v>235</v>
      </c>
      <c r="AW191" t="s">
        <v>258</v>
      </c>
      <c r="AX191" t="s">
        <v>429</v>
      </c>
      <c r="AY191">
        <v>3900000</v>
      </c>
      <c r="BA191">
        <v>4900000</v>
      </c>
      <c r="BE191">
        <v>0.17</v>
      </c>
      <c r="BF191" s="42">
        <v>0.13475000000000001</v>
      </c>
      <c r="BG191" s="42">
        <v>3.5250000000000004E-2</v>
      </c>
      <c r="BH191" s="39">
        <v>20.735294117647062</v>
      </c>
      <c r="BI191" s="22">
        <f t="shared" si="1"/>
        <v>3.5250000000000004E-2</v>
      </c>
      <c r="BP191">
        <v>400000</v>
      </c>
      <c r="BT191">
        <v>1</v>
      </c>
      <c r="BU191">
        <v>0.47</v>
      </c>
      <c r="BX191" t="s">
        <v>632</v>
      </c>
      <c r="BY191" t="s">
        <v>393</v>
      </c>
      <c r="CC191">
        <v>160.80000000000001</v>
      </c>
      <c r="CD191">
        <v>9.6999999999999993</v>
      </c>
      <c r="CH191" t="s">
        <v>104</v>
      </c>
      <c r="CJ191" t="s">
        <v>430</v>
      </c>
      <c r="CK191" t="s">
        <v>220</v>
      </c>
      <c r="CQ191" t="s">
        <v>868</v>
      </c>
      <c r="CY191" s="24" t="s">
        <v>862</v>
      </c>
    </row>
    <row r="192" spans="1:103" x14ac:dyDescent="0.35">
      <c r="A192">
        <v>206</v>
      </c>
      <c r="B192" s="1">
        <v>290</v>
      </c>
      <c r="C192" t="s">
        <v>126</v>
      </c>
      <c r="D192">
        <v>2023</v>
      </c>
      <c r="E192" t="s">
        <v>586</v>
      </c>
      <c r="G192" t="s">
        <v>424</v>
      </c>
      <c r="H192">
        <v>1</v>
      </c>
      <c r="I192" t="s">
        <v>69</v>
      </c>
      <c r="O192" t="s">
        <v>80</v>
      </c>
      <c r="R192" t="s">
        <v>220</v>
      </c>
      <c r="S192" s="24" t="s">
        <v>82</v>
      </c>
      <c r="T192" t="s">
        <v>338</v>
      </c>
      <c r="V192" t="s">
        <v>187</v>
      </c>
      <c r="W192" t="s">
        <v>424</v>
      </c>
      <c r="Y192" t="s">
        <v>87</v>
      </c>
      <c r="Z192" s="22">
        <v>1.7000000000000001E-2</v>
      </c>
      <c r="AA192" s="22">
        <v>1.2E-2</v>
      </c>
      <c r="AB192">
        <v>29</v>
      </c>
      <c r="AC192" t="s">
        <v>107</v>
      </c>
      <c r="AQ192" t="s">
        <v>87</v>
      </c>
      <c r="AR192" t="s">
        <v>88</v>
      </c>
      <c r="AS192" t="s">
        <v>88</v>
      </c>
      <c r="AV192" t="s">
        <v>235</v>
      </c>
      <c r="AW192" t="s">
        <v>424</v>
      </c>
      <c r="AX192" t="s">
        <v>429</v>
      </c>
      <c r="AY192">
        <v>9200000</v>
      </c>
      <c r="BA192">
        <v>11900000</v>
      </c>
      <c r="BE192">
        <v>0.39</v>
      </c>
      <c r="BF192" s="42">
        <v>0.35699999999999998</v>
      </c>
      <c r="BG192" s="42">
        <v>3.3000000000000029E-2</v>
      </c>
      <c r="BH192" s="39">
        <v>8.4615384615384688</v>
      </c>
      <c r="BI192" s="22">
        <f t="shared" si="1"/>
        <v>3.3000000000000029E-2</v>
      </c>
      <c r="BP192">
        <v>400000</v>
      </c>
      <c r="BT192">
        <v>1</v>
      </c>
      <c r="BU192">
        <v>0.47</v>
      </c>
      <c r="BX192" t="s">
        <v>632</v>
      </c>
      <c r="BY192" t="s">
        <v>393</v>
      </c>
      <c r="CC192">
        <v>105.60000000000001</v>
      </c>
      <c r="CD192">
        <v>22.53</v>
      </c>
      <c r="CH192" t="s">
        <v>104</v>
      </c>
      <c r="CJ192" t="s">
        <v>430</v>
      </c>
      <c r="CK192" t="s">
        <v>220</v>
      </c>
      <c r="CQ192" t="s">
        <v>866</v>
      </c>
      <c r="CY192" s="24" t="s">
        <v>862</v>
      </c>
    </row>
    <row r="193" spans="1:103" x14ac:dyDescent="0.35">
      <c r="A193">
        <v>207</v>
      </c>
      <c r="B193" s="1">
        <v>290</v>
      </c>
      <c r="C193" t="s">
        <v>126</v>
      </c>
      <c r="D193">
        <v>2023</v>
      </c>
      <c r="E193" t="s">
        <v>586</v>
      </c>
      <c r="G193" t="s">
        <v>425</v>
      </c>
      <c r="H193">
        <v>1</v>
      </c>
      <c r="I193" t="s">
        <v>69</v>
      </c>
      <c r="O193" t="s">
        <v>80</v>
      </c>
      <c r="R193" t="s">
        <v>220</v>
      </c>
      <c r="S193" s="24" t="s">
        <v>82</v>
      </c>
      <c r="T193" t="s">
        <v>338</v>
      </c>
      <c r="V193" t="s">
        <v>187</v>
      </c>
      <c r="W193" t="s">
        <v>425</v>
      </c>
      <c r="Y193" t="s">
        <v>87</v>
      </c>
      <c r="Z193" s="22">
        <v>1.6E-2</v>
      </c>
      <c r="AA193" s="22">
        <v>1.0999999999999999E-2</v>
      </c>
      <c r="AB193">
        <v>21</v>
      </c>
      <c r="AC193" t="s">
        <v>107</v>
      </c>
      <c r="AQ193" t="s">
        <v>87</v>
      </c>
      <c r="AR193" t="s">
        <v>88</v>
      </c>
      <c r="AS193" t="s">
        <v>88</v>
      </c>
      <c r="AV193" t="s">
        <v>235</v>
      </c>
      <c r="AW193" t="s">
        <v>425</v>
      </c>
      <c r="AX193" t="s">
        <v>429</v>
      </c>
      <c r="AY193">
        <v>11500000</v>
      </c>
      <c r="BA193">
        <v>13800000</v>
      </c>
      <c r="BE193">
        <v>0.45</v>
      </c>
      <c r="BF193" s="42">
        <v>0.3795</v>
      </c>
      <c r="BG193" s="42">
        <v>7.0500000000000007E-2</v>
      </c>
      <c r="BH193" s="39">
        <v>15.666666666666668</v>
      </c>
      <c r="BI193" s="22">
        <f t="shared" si="1"/>
        <v>7.0500000000000007E-2</v>
      </c>
      <c r="BP193">
        <v>400000</v>
      </c>
      <c r="BT193">
        <v>1</v>
      </c>
      <c r="BU193">
        <v>0.47</v>
      </c>
      <c r="BX193" t="s">
        <v>632</v>
      </c>
      <c r="BY193" t="s">
        <v>393</v>
      </c>
      <c r="CC193">
        <v>122.39999999999999</v>
      </c>
      <c r="CD193">
        <v>28.11</v>
      </c>
      <c r="CH193" t="s">
        <v>104</v>
      </c>
      <c r="CJ193" t="s">
        <v>430</v>
      </c>
      <c r="CK193" t="s">
        <v>220</v>
      </c>
      <c r="CQ193" t="s">
        <v>866</v>
      </c>
      <c r="CY193" s="24" t="s">
        <v>862</v>
      </c>
    </row>
    <row r="194" spans="1:103" x14ac:dyDescent="0.35">
      <c r="A194">
        <v>208</v>
      </c>
      <c r="B194" s="1">
        <v>290</v>
      </c>
      <c r="C194" t="s">
        <v>126</v>
      </c>
      <c r="D194">
        <v>2023</v>
      </c>
      <c r="E194" t="s">
        <v>586</v>
      </c>
      <c r="G194" t="s">
        <v>272</v>
      </c>
      <c r="H194">
        <v>1</v>
      </c>
      <c r="I194" t="s">
        <v>69</v>
      </c>
      <c r="O194" t="s">
        <v>80</v>
      </c>
      <c r="R194" t="s">
        <v>220</v>
      </c>
      <c r="S194" s="24" t="s">
        <v>82</v>
      </c>
      <c r="T194" t="s">
        <v>338</v>
      </c>
      <c r="V194" t="s">
        <v>187</v>
      </c>
      <c r="W194" t="s">
        <v>272</v>
      </c>
      <c r="Y194" t="s">
        <v>87</v>
      </c>
      <c r="Z194" s="22">
        <v>2.4E-2</v>
      </c>
      <c r="AA194" s="22">
        <v>1.2999999999999999E-2</v>
      </c>
      <c r="AB194">
        <v>46</v>
      </c>
      <c r="AC194" t="s">
        <v>107</v>
      </c>
      <c r="AQ194" t="s">
        <v>87</v>
      </c>
      <c r="AR194" t="s">
        <v>88</v>
      </c>
      <c r="AS194" t="s">
        <v>88</v>
      </c>
      <c r="AV194" t="s">
        <v>235</v>
      </c>
      <c r="AW194" t="s">
        <v>272</v>
      </c>
      <c r="AX194" t="s">
        <v>429</v>
      </c>
      <c r="AY194">
        <v>5000000</v>
      </c>
      <c r="BA194">
        <v>4700000</v>
      </c>
      <c r="BE194">
        <v>0.28999999999999998</v>
      </c>
      <c r="BF194" s="42">
        <v>0.15275</v>
      </c>
      <c r="BG194" s="42">
        <v>0.13724999999999998</v>
      </c>
      <c r="BH194" s="39">
        <v>47.327586206896548</v>
      </c>
      <c r="BI194" s="22">
        <f t="shared" si="1"/>
        <v>0.13724999999999998</v>
      </c>
      <c r="BP194">
        <v>400000</v>
      </c>
      <c r="BT194">
        <v>1</v>
      </c>
      <c r="BU194">
        <v>0.56000000000000005</v>
      </c>
      <c r="BX194" t="s">
        <v>632</v>
      </c>
      <c r="BY194" t="s">
        <v>393</v>
      </c>
      <c r="CC194">
        <v>400.79999999999995</v>
      </c>
      <c r="CD194">
        <v>12.05</v>
      </c>
      <c r="CH194" t="s">
        <v>104</v>
      </c>
      <c r="CJ194" t="s">
        <v>430</v>
      </c>
      <c r="CK194" t="s">
        <v>220</v>
      </c>
      <c r="CQ194" t="s">
        <v>869</v>
      </c>
      <c r="CY194" s="24" t="s">
        <v>862</v>
      </c>
    </row>
    <row r="195" spans="1:103" x14ac:dyDescent="0.35">
      <c r="A195">
        <v>209</v>
      </c>
      <c r="B195" s="1">
        <v>290</v>
      </c>
      <c r="C195" t="s">
        <v>126</v>
      </c>
      <c r="D195">
        <v>2023</v>
      </c>
      <c r="E195" t="s">
        <v>586</v>
      </c>
      <c r="G195" t="s">
        <v>216</v>
      </c>
      <c r="H195">
        <v>1</v>
      </c>
      <c r="I195" t="s">
        <v>69</v>
      </c>
      <c r="O195" t="s">
        <v>80</v>
      </c>
      <c r="R195" t="s">
        <v>220</v>
      </c>
      <c r="S195" s="24" t="s">
        <v>82</v>
      </c>
      <c r="T195" t="s">
        <v>338</v>
      </c>
      <c r="V195" t="s">
        <v>187</v>
      </c>
      <c r="W195" t="s">
        <v>216</v>
      </c>
      <c r="Y195" t="s">
        <v>87</v>
      </c>
      <c r="Z195" s="22">
        <v>1.6E-2</v>
      </c>
      <c r="AA195" s="22">
        <v>1.0999999999999999E-2</v>
      </c>
      <c r="AB195">
        <v>31</v>
      </c>
      <c r="AC195" t="s">
        <v>107</v>
      </c>
      <c r="AQ195" t="s">
        <v>87</v>
      </c>
      <c r="AR195" t="s">
        <v>88</v>
      </c>
      <c r="AS195" t="s">
        <v>88</v>
      </c>
      <c r="AV195" t="s">
        <v>235</v>
      </c>
      <c r="AW195" t="s">
        <v>216</v>
      </c>
      <c r="AX195" t="s">
        <v>429</v>
      </c>
      <c r="AY195">
        <v>8600000</v>
      </c>
      <c r="BA195">
        <v>9100000</v>
      </c>
      <c r="BE195">
        <v>0.33</v>
      </c>
      <c r="BF195" s="42">
        <v>0.25024999999999997</v>
      </c>
      <c r="BG195" s="42">
        <v>7.9750000000000043E-2</v>
      </c>
      <c r="BH195" s="39">
        <v>24.166666666666679</v>
      </c>
      <c r="BI195" s="22">
        <f t="shared" si="1"/>
        <v>7.9750000000000043E-2</v>
      </c>
      <c r="BP195">
        <v>400000</v>
      </c>
      <c r="BT195">
        <v>1</v>
      </c>
      <c r="BU195">
        <v>0.56000000000000005</v>
      </c>
      <c r="BX195" t="s">
        <v>632</v>
      </c>
      <c r="BY195" t="s">
        <v>393</v>
      </c>
      <c r="CC195">
        <v>225.60000000000002</v>
      </c>
      <c r="CD195">
        <v>21.17</v>
      </c>
      <c r="CH195" t="s">
        <v>104</v>
      </c>
      <c r="CJ195" t="s">
        <v>430</v>
      </c>
      <c r="CK195" t="s">
        <v>220</v>
      </c>
      <c r="CQ195" t="s">
        <v>870</v>
      </c>
      <c r="CY195" s="24" t="s">
        <v>862</v>
      </c>
    </row>
    <row r="196" spans="1:103" x14ac:dyDescent="0.35">
      <c r="A196">
        <v>210</v>
      </c>
      <c r="B196" s="1">
        <v>290</v>
      </c>
      <c r="C196" t="s">
        <v>126</v>
      </c>
      <c r="D196">
        <v>2023</v>
      </c>
      <c r="E196" t="s">
        <v>586</v>
      </c>
      <c r="G196" t="s">
        <v>273</v>
      </c>
      <c r="H196">
        <v>1</v>
      </c>
      <c r="I196" t="s">
        <v>69</v>
      </c>
      <c r="O196" t="s">
        <v>80</v>
      </c>
      <c r="R196" t="s">
        <v>220</v>
      </c>
      <c r="S196" s="24" t="s">
        <v>82</v>
      </c>
      <c r="T196" t="s">
        <v>338</v>
      </c>
      <c r="V196" t="s">
        <v>187</v>
      </c>
      <c r="W196" t="s">
        <v>273</v>
      </c>
      <c r="Y196" t="s">
        <v>87</v>
      </c>
      <c r="Z196" s="22">
        <v>1.0999999999999999E-2</v>
      </c>
      <c r="AA196" s="22">
        <v>8.9999999999999993E-3</v>
      </c>
      <c r="AB196">
        <v>18</v>
      </c>
      <c r="AC196" t="s">
        <v>107</v>
      </c>
      <c r="AQ196" t="s">
        <v>87</v>
      </c>
      <c r="AR196" t="s">
        <v>88</v>
      </c>
      <c r="AS196" t="s">
        <v>88</v>
      </c>
      <c r="AV196" t="s">
        <v>235</v>
      </c>
      <c r="AW196" t="s">
        <v>273</v>
      </c>
      <c r="AX196" t="s">
        <v>429</v>
      </c>
      <c r="AY196">
        <v>10200000</v>
      </c>
      <c r="BA196">
        <v>12900000</v>
      </c>
      <c r="BE196">
        <v>0.27</v>
      </c>
      <c r="BF196" s="42">
        <v>0.29024999999999995</v>
      </c>
      <c r="BG196" s="42">
        <v>-2.0249999999999935E-2</v>
      </c>
      <c r="BH196" s="39">
        <v>-7.4999999999999751</v>
      </c>
      <c r="BI196" s="22">
        <f t="shared" si="1"/>
        <v>-2.0249999999999935E-2</v>
      </c>
      <c r="BP196">
        <v>400000</v>
      </c>
      <c r="BT196">
        <v>1</v>
      </c>
      <c r="BU196">
        <v>0.56000000000000005</v>
      </c>
      <c r="BX196" t="s">
        <v>632</v>
      </c>
      <c r="BY196" t="s">
        <v>393</v>
      </c>
      <c r="CC196">
        <v>175.2</v>
      </c>
      <c r="CD196">
        <v>25.25</v>
      </c>
      <c r="CH196" t="s">
        <v>104</v>
      </c>
      <c r="CJ196" t="s">
        <v>430</v>
      </c>
      <c r="CK196" t="s">
        <v>220</v>
      </c>
      <c r="CQ196" t="s">
        <v>871</v>
      </c>
      <c r="CY196" s="24" t="s">
        <v>862</v>
      </c>
    </row>
    <row r="197" spans="1:103" x14ac:dyDescent="0.35">
      <c r="A197">
        <v>211</v>
      </c>
      <c r="B197" s="1">
        <v>290</v>
      </c>
      <c r="C197" t="s">
        <v>126</v>
      </c>
      <c r="D197">
        <v>2023</v>
      </c>
      <c r="E197" t="s">
        <v>586</v>
      </c>
      <c r="G197" t="s">
        <v>426</v>
      </c>
      <c r="H197">
        <v>1</v>
      </c>
      <c r="I197" t="s">
        <v>69</v>
      </c>
      <c r="O197" t="s">
        <v>80</v>
      </c>
      <c r="R197" t="s">
        <v>220</v>
      </c>
      <c r="S197" s="24" t="s">
        <v>82</v>
      </c>
      <c r="T197" t="s">
        <v>338</v>
      </c>
      <c r="V197" t="s">
        <v>187</v>
      </c>
      <c r="W197" t="s">
        <v>426</v>
      </c>
      <c r="Y197" t="s">
        <v>87</v>
      </c>
      <c r="Z197" s="22">
        <v>0.01</v>
      </c>
      <c r="AA197" s="22">
        <v>8.0000000000000002E-3</v>
      </c>
      <c r="AB197">
        <v>20</v>
      </c>
      <c r="AC197" t="s">
        <v>107</v>
      </c>
      <c r="AQ197" t="s">
        <v>87</v>
      </c>
      <c r="AR197" t="s">
        <v>88</v>
      </c>
      <c r="AS197" t="s">
        <v>88</v>
      </c>
      <c r="AV197" t="s">
        <v>235</v>
      </c>
      <c r="AW197" t="s">
        <v>426</v>
      </c>
      <c r="AX197" t="s">
        <v>429</v>
      </c>
      <c r="AY197">
        <v>8300000</v>
      </c>
      <c r="BA197">
        <v>6600000</v>
      </c>
      <c r="BE197">
        <v>0.2</v>
      </c>
      <c r="BF197" s="42">
        <v>0.13200000000000001</v>
      </c>
      <c r="BG197" s="42">
        <v>6.8000000000000005E-2</v>
      </c>
      <c r="BH197" s="39">
        <v>34</v>
      </c>
      <c r="BI197" s="22">
        <f t="shared" si="1"/>
        <v>6.8000000000000005E-2</v>
      </c>
      <c r="BP197">
        <v>400000</v>
      </c>
      <c r="BT197">
        <v>1</v>
      </c>
      <c r="BU197">
        <v>0.66</v>
      </c>
      <c r="BX197" t="s">
        <v>632</v>
      </c>
      <c r="BY197" t="s">
        <v>393</v>
      </c>
      <c r="CC197">
        <v>309.60000000000002</v>
      </c>
      <c r="CD197">
        <v>20.440000000000001</v>
      </c>
      <c r="CH197" t="s">
        <v>104</v>
      </c>
      <c r="CJ197" t="s">
        <v>430</v>
      </c>
      <c r="CK197" t="s">
        <v>220</v>
      </c>
      <c r="CQ197" t="s">
        <v>870</v>
      </c>
      <c r="CY197" s="24" t="s">
        <v>862</v>
      </c>
    </row>
    <row r="198" spans="1:103" x14ac:dyDescent="0.35">
      <c r="A198">
        <v>212</v>
      </c>
      <c r="B198" s="1">
        <v>290</v>
      </c>
      <c r="C198" t="s">
        <v>126</v>
      </c>
      <c r="D198">
        <v>2023</v>
      </c>
      <c r="E198" t="s">
        <v>586</v>
      </c>
      <c r="G198" t="s">
        <v>427</v>
      </c>
      <c r="H198">
        <v>1</v>
      </c>
      <c r="I198" t="s">
        <v>69</v>
      </c>
      <c r="O198" t="s">
        <v>80</v>
      </c>
      <c r="R198" t="s">
        <v>220</v>
      </c>
      <c r="S198" s="24" t="s">
        <v>82</v>
      </c>
      <c r="T198" t="s">
        <v>338</v>
      </c>
      <c r="V198" t="s">
        <v>187</v>
      </c>
      <c r="W198" t="s">
        <v>427</v>
      </c>
      <c r="Y198" t="s">
        <v>87</v>
      </c>
      <c r="Z198" s="22">
        <v>0.01</v>
      </c>
      <c r="AA198" s="22">
        <v>8.9999999999999993E-3</v>
      </c>
      <c r="AB198">
        <v>10</v>
      </c>
      <c r="AC198" t="s">
        <v>107</v>
      </c>
      <c r="AQ198" t="s">
        <v>87</v>
      </c>
      <c r="AR198" t="s">
        <v>88</v>
      </c>
      <c r="AS198" t="s">
        <v>88</v>
      </c>
      <c r="AV198" t="s">
        <v>235</v>
      </c>
      <c r="AW198" t="s">
        <v>427</v>
      </c>
      <c r="AX198" t="s">
        <v>429</v>
      </c>
      <c r="AY198">
        <v>7500000</v>
      </c>
      <c r="BA198">
        <v>11000000</v>
      </c>
      <c r="BE198">
        <v>0.19</v>
      </c>
      <c r="BF198" s="42">
        <v>0.24749999999999997</v>
      </c>
      <c r="BG198" s="42">
        <v>-5.7499999999999968E-2</v>
      </c>
      <c r="BH198" s="39">
        <v>-30.263157894736825</v>
      </c>
      <c r="BI198" s="22">
        <f t="shared" si="1"/>
        <v>-5.7499999999999968E-2</v>
      </c>
      <c r="BP198">
        <v>400000</v>
      </c>
      <c r="BT198">
        <v>1</v>
      </c>
      <c r="BU198">
        <v>0.66</v>
      </c>
      <c r="BX198" t="s">
        <v>632</v>
      </c>
      <c r="BY198" t="s">
        <v>393</v>
      </c>
      <c r="CC198">
        <v>252</v>
      </c>
      <c r="CD198">
        <v>18.25</v>
      </c>
      <c r="CH198" t="s">
        <v>104</v>
      </c>
      <c r="CJ198" t="s">
        <v>430</v>
      </c>
      <c r="CK198" t="s">
        <v>220</v>
      </c>
      <c r="CQ198" t="s">
        <v>863</v>
      </c>
      <c r="CY198" s="24" t="s">
        <v>862</v>
      </c>
    </row>
    <row r="199" spans="1:103" x14ac:dyDescent="0.35">
      <c r="A199">
        <v>213</v>
      </c>
      <c r="B199" s="1">
        <v>290</v>
      </c>
      <c r="C199" t="s">
        <v>126</v>
      </c>
      <c r="D199">
        <v>2023</v>
      </c>
      <c r="E199" t="s">
        <v>586</v>
      </c>
      <c r="G199" t="s">
        <v>368</v>
      </c>
      <c r="H199">
        <v>1</v>
      </c>
      <c r="I199" t="s">
        <v>69</v>
      </c>
      <c r="O199" t="s">
        <v>80</v>
      </c>
      <c r="R199" t="s">
        <v>220</v>
      </c>
      <c r="S199" s="24" t="s">
        <v>82</v>
      </c>
      <c r="T199" t="s">
        <v>338</v>
      </c>
      <c r="V199" t="s">
        <v>187</v>
      </c>
      <c r="W199" t="s">
        <v>368</v>
      </c>
      <c r="Y199" t="s">
        <v>87</v>
      </c>
      <c r="Z199" s="22">
        <v>1.2E-2</v>
      </c>
      <c r="AA199" s="22">
        <v>8.9999999999999993E-3</v>
      </c>
      <c r="AB199">
        <v>25</v>
      </c>
      <c r="AC199" t="s">
        <v>107</v>
      </c>
      <c r="AQ199" t="s">
        <v>87</v>
      </c>
      <c r="AR199" t="s">
        <v>88</v>
      </c>
      <c r="AS199" t="s">
        <v>88</v>
      </c>
      <c r="AV199" t="s">
        <v>235</v>
      </c>
      <c r="AW199" t="s">
        <v>368</v>
      </c>
      <c r="AX199" t="s">
        <v>429</v>
      </c>
      <c r="AY199">
        <v>6900000</v>
      </c>
      <c r="BA199">
        <v>3200000</v>
      </c>
      <c r="BE199">
        <v>0.2</v>
      </c>
      <c r="BF199" s="42">
        <v>7.1999999999999995E-2</v>
      </c>
      <c r="BG199" s="42">
        <v>0.128</v>
      </c>
      <c r="BH199" s="39">
        <v>64</v>
      </c>
      <c r="BI199" s="22">
        <f t="shared" si="1"/>
        <v>0.128</v>
      </c>
      <c r="BP199">
        <v>400000</v>
      </c>
      <c r="BT199">
        <v>1</v>
      </c>
      <c r="BU199">
        <v>0.66</v>
      </c>
      <c r="BX199" t="s">
        <v>632</v>
      </c>
      <c r="BY199" t="s">
        <v>393</v>
      </c>
      <c r="CC199">
        <v>460.79999999999995</v>
      </c>
      <c r="CD199">
        <v>17.16</v>
      </c>
      <c r="CH199" t="s">
        <v>104</v>
      </c>
      <c r="CJ199" t="s">
        <v>430</v>
      </c>
      <c r="CK199" t="s">
        <v>220</v>
      </c>
      <c r="CQ199" t="s">
        <v>872</v>
      </c>
      <c r="CY199" s="24" t="s">
        <v>862</v>
      </c>
    </row>
    <row r="200" spans="1:103" x14ac:dyDescent="0.35">
      <c r="A200">
        <v>214</v>
      </c>
      <c r="B200" s="1">
        <v>290</v>
      </c>
      <c r="C200" t="s">
        <v>126</v>
      </c>
      <c r="D200">
        <v>2023</v>
      </c>
      <c r="E200" t="s">
        <v>586</v>
      </c>
      <c r="G200" t="s">
        <v>428</v>
      </c>
      <c r="H200">
        <v>1</v>
      </c>
      <c r="I200" t="s">
        <v>69</v>
      </c>
      <c r="O200" t="s">
        <v>80</v>
      </c>
      <c r="R200" t="s">
        <v>220</v>
      </c>
      <c r="S200" s="24" t="s">
        <v>82</v>
      </c>
      <c r="T200" t="s">
        <v>338</v>
      </c>
      <c r="V200" t="s">
        <v>187</v>
      </c>
      <c r="W200" t="s">
        <v>428</v>
      </c>
      <c r="Y200" t="s">
        <v>87</v>
      </c>
      <c r="Z200" s="22">
        <v>1.0999999999999999E-2</v>
      </c>
      <c r="AA200" s="22">
        <v>8.9999999999999993E-3</v>
      </c>
      <c r="AB200">
        <v>18</v>
      </c>
      <c r="AC200" t="s">
        <v>107</v>
      </c>
      <c r="AQ200" t="s">
        <v>87</v>
      </c>
      <c r="AR200" t="s">
        <v>88</v>
      </c>
      <c r="AS200" t="s">
        <v>88</v>
      </c>
      <c r="AV200" t="s">
        <v>235</v>
      </c>
      <c r="AW200" t="s">
        <v>428</v>
      </c>
      <c r="AX200" t="s">
        <v>429</v>
      </c>
      <c r="AY200">
        <v>7500000</v>
      </c>
      <c r="BA200">
        <v>7800000</v>
      </c>
      <c r="BE200">
        <v>0.2</v>
      </c>
      <c r="BF200" s="42">
        <v>0.17549999999999999</v>
      </c>
      <c r="BG200" s="42">
        <v>2.4500000000000022E-2</v>
      </c>
      <c r="BH200" s="39">
        <v>12.250000000000011</v>
      </c>
      <c r="BI200" s="22">
        <f t="shared" si="1"/>
        <v>2.4500000000000022E-2</v>
      </c>
      <c r="BP200">
        <v>400000</v>
      </c>
      <c r="BT200">
        <v>1</v>
      </c>
      <c r="BU200">
        <v>0.66</v>
      </c>
      <c r="BX200" t="s">
        <v>632</v>
      </c>
      <c r="BY200" t="s">
        <v>393</v>
      </c>
      <c r="CA200">
        <v>11.3</v>
      </c>
      <c r="CB200">
        <v>24</v>
      </c>
      <c r="CC200">
        <v>271.20000000000005</v>
      </c>
      <c r="CD200">
        <v>18.600000000000001</v>
      </c>
      <c r="CH200" t="s">
        <v>104</v>
      </c>
      <c r="CJ200" t="s">
        <v>430</v>
      </c>
      <c r="CK200" t="s">
        <v>220</v>
      </c>
      <c r="CQ200" t="s">
        <v>863</v>
      </c>
      <c r="CY200" s="24" t="s">
        <v>862</v>
      </c>
    </row>
    <row r="201" spans="1:103" x14ac:dyDescent="0.35">
      <c r="A201">
        <v>34</v>
      </c>
      <c r="B201" s="1">
        <v>306</v>
      </c>
      <c r="C201" t="s">
        <v>129</v>
      </c>
      <c r="D201">
        <v>2015</v>
      </c>
      <c r="E201" t="s">
        <v>109</v>
      </c>
      <c r="G201" t="s">
        <v>608</v>
      </c>
      <c r="H201">
        <v>9</v>
      </c>
      <c r="I201" t="s">
        <v>69</v>
      </c>
      <c r="Q201">
        <v>0</v>
      </c>
      <c r="R201" t="s">
        <v>646</v>
      </c>
      <c r="T201" t="s">
        <v>338</v>
      </c>
      <c r="V201" t="s">
        <v>112</v>
      </c>
      <c r="W201" s="30" t="s">
        <v>608</v>
      </c>
      <c r="Y201" t="s">
        <v>87</v>
      </c>
      <c r="AA201" s="22" t="s">
        <v>655</v>
      </c>
      <c r="AQ201" t="s">
        <v>87</v>
      </c>
      <c r="AR201" t="s">
        <v>87</v>
      </c>
      <c r="AS201" t="s">
        <v>87</v>
      </c>
      <c r="AV201" t="s">
        <v>235</v>
      </c>
      <c r="AW201" s="30" t="s">
        <v>608</v>
      </c>
      <c r="BE201">
        <v>3.24</v>
      </c>
      <c r="BF201" s="36">
        <v>2.39</v>
      </c>
      <c r="BG201">
        <v>0.85</v>
      </c>
      <c r="BH201">
        <v>26</v>
      </c>
      <c r="BI201">
        <v>27</v>
      </c>
      <c r="BJ201">
        <v>2600</v>
      </c>
      <c r="BP201" s="13">
        <v>2760000</v>
      </c>
      <c r="BS201">
        <v>2</v>
      </c>
      <c r="BT201">
        <v>4</v>
      </c>
      <c r="BU201">
        <v>0.5</v>
      </c>
      <c r="BX201" t="s">
        <v>648</v>
      </c>
      <c r="BY201" t="s">
        <v>96</v>
      </c>
      <c r="CC201" t="s">
        <v>654</v>
      </c>
      <c r="CD201" s="15">
        <v>30</v>
      </c>
      <c r="CI201" t="s">
        <v>647</v>
      </c>
      <c r="CK201" t="s">
        <v>220</v>
      </c>
      <c r="CP201" t="s">
        <v>652</v>
      </c>
      <c r="CR201" t="s">
        <v>261</v>
      </c>
      <c r="CS201" t="s">
        <v>261</v>
      </c>
      <c r="CU201" t="s">
        <v>261</v>
      </c>
      <c r="CV201" t="s">
        <v>261</v>
      </c>
      <c r="CW201" t="s">
        <v>653</v>
      </c>
      <c r="CY201" s="24" t="s">
        <v>683</v>
      </c>
    </row>
    <row r="202" spans="1:103" x14ac:dyDescent="0.35">
      <c r="A202">
        <v>60</v>
      </c>
      <c r="B202" s="1">
        <v>307</v>
      </c>
      <c r="C202" t="s">
        <v>160</v>
      </c>
      <c r="D202">
        <v>1986</v>
      </c>
      <c r="E202" t="s">
        <v>568</v>
      </c>
      <c r="G202" t="s">
        <v>567</v>
      </c>
      <c r="H202">
        <v>4</v>
      </c>
      <c r="I202" t="s">
        <v>212</v>
      </c>
      <c r="O202" s="29" t="s">
        <v>267</v>
      </c>
      <c r="R202" t="s">
        <v>229</v>
      </c>
      <c r="T202" t="s">
        <v>733</v>
      </c>
      <c r="W202" t="s">
        <v>567</v>
      </c>
      <c r="Y202" t="s">
        <v>87</v>
      </c>
      <c r="Z202" s="22">
        <v>1.1000000000000001</v>
      </c>
      <c r="AA202" s="22">
        <v>0.67</v>
      </c>
      <c r="AB202" s="36">
        <v>39.090000000000003</v>
      </c>
      <c r="AC202" s="22" t="s">
        <v>277</v>
      </c>
      <c r="AD202">
        <v>0.3</v>
      </c>
      <c r="AE202">
        <v>2.4</v>
      </c>
      <c r="AJ202">
        <v>0.37</v>
      </c>
      <c r="AK202">
        <v>0.39</v>
      </c>
      <c r="AL202" s="36">
        <v>-5.41</v>
      </c>
      <c r="AM202">
        <v>5.0000000000000001E-3</v>
      </c>
      <c r="AN202">
        <v>1.7</v>
      </c>
      <c r="AQ202" t="s">
        <v>88</v>
      </c>
      <c r="AR202" t="s">
        <v>88</v>
      </c>
      <c r="AS202" t="s">
        <v>87</v>
      </c>
      <c r="AT202">
        <v>7.5</v>
      </c>
      <c r="AV202" t="s">
        <v>378</v>
      </c>
      <c r="AW202" t="s">
        <v>567</v>
      </c>
      <c r="AX202" t="s">
        <v>523</v>
      </c>
      <c r="BE202">
        <v>9.4</v>
      </c>
      <c r="BH202">
        <v>31.7</v>
      </c>
      <c r="BK202">
        <v>3.1</v>
      </c>
      <c r="BN202">
        <v>-23.4</v>
      </c>
      <c r="BP202">
        <v>4127</v>
      </c>
      <c r="BT202">
        <v>3</v>
      </c>
      <c r="BX202" t="s">
        <v>577</v>
      </c>
      <c r="BY202" t="s">
        <v>96</v>
      </c>
      <c r="BZ202" t="s">
        <v>95</v>
      </c>
      <c r="CO202" t="s">
        <v>261</v>
      </c>
      <c r="CQ202" t="s">
        <v>580</v>
      </c>
      <c r="CR202" t="s">
        <v>585</v>
      </c>
      <c r="CU202" t="s">
        <v>261</v>
      </c>
      <c r="CV202" t="s">
        <v>261</v>
      </c>
      <c r="CY202" s="24" t="s">
        <v>898</v>
      </c>
    </row>
    <row r="203" spans="1:103" x14ac:dyDescent="0.35">
      <c r="A203">
        <v>61</v>
      </c>
      <c r="B203" s="1">
        <v>307</v>
      </c>
      <c r="C203" t="s">
        <v>160</v>
      </c>
      <c r="D203">
        <v>1986</v>
      </c>
      <c r="E203" t="s">
        <v>569</v>
      </c>
      <c r="G203" t="s">
        <v>567</v>
      </c>
      <c r="H203">
        <v>4</v>
      </c>
      <c r="I203" t="s">
        <v>212</v>
      </c>
      <c r="O203" s="29" t="s">
        <v>267</v>
      </c>
      <c r="R203" t="s">
        <v>229</v>
      </c>
      <c r="T203" t="s">
        <v>733</v>
      </c>
      <c r="W203" t="s">
        <v>567</v>
      </c>
      <c r="Y203" t="s">
        <v>87</v>
      </c>
      <c r="Z203" s="22">
        <v>1.1000000000000001</v>
      </c>
      <c r="AA203" s="22">
        <v>0.76</v>
      </c>
      <c r="AB203" s="36">
        <v>30.91</v>
      </c>
      <c r="AC203" s="22" t="s">
        <v>277</v>
      </c>
      <c r="AD203">
        <v>0.3</v>
      </c>
      <c r="AE203">
        <v>2.4</v>
      </c>
      <c r="AJ203">
        <v>0.37</v>
      </c>
      <c r="AK203">
        <v>0.45</v>
      </c>
      <c r="AL203" s="36">
        <v>-21.62</v>
      </c>
      <c r="AM203">
        <v>5.0000000000000001E-3</v>
      </c>
      <c r="AN203">
        <v>1.7</v>
      </c>
      <c r="AQ203" t="s">
        <v>88</v>
      </c>
      <c r="AR203" t="s">
        <v>88</v>
      </c>
      <c r="AS203" t="s">
        <v>87</v>
      </c>
      <c r="AT203">
        <v>7.5</v>
      </c>
      <c r="AV203" t="s">
        <v>378</v>
      </c>
      <c r="AW203" t="s">
        <v>573</v>
      </c>
      <c r="AX203" t="s">
        <v>523</v>
      </c>
      <c r="BE203">
        <v>10.23</v>
      </c>
      <c r="BH203">
        <v>22.7</v>
      </c>
      <c r="BK203">
        <v>3.23</v>
      </c>
      <c r="BN203">
        <v>-38</v>
      </c>
      <c r="BP203">
        <v>909</v>
      </c>
      <c r="BT203">
        <v>1</v>
      </c>
      <c r="BX203" t="s">
        <v>579</v>
      </c>
      <c r="BY203" t="s">
        <v>96</v>
      </c>
      <c r="BZ203" t="s">
        <v>95</v>
      </c>
      <c r="CO203" t="s">
        <v>261</v>
      </c>
      <c r="CQ203" t="s">
        <v>580</v>
      </c>
      <c r="CR203" t="s">
        <v>83</v>
      </c>
      <c r="CU203" t="s">
        <v>261</v>
      </c>
      <c r="CV203" t="s">
        <v>261</v>
      </c>
      <c r="CY203" s="24" t="s">
        <v>898</v>
      </c>
    </row>
    <row r="204" spans="1:103" x14ac:dyDescent="0.35">
      <c r="A204">
        <v>62</v>
      </c>
      <c r="B204" s="1">
        <v>307</v>
      </c>
      <c r="C204" t="s">
        <v>160</v>
      </c>
      <c r="D204">
        <v>1986</v>
      </c>
      <c r="E204" t="s">
        <v>570</v>
      </c>
      <c r="G204" t="s">
        <v>567</v>
      </c>
      <c r="H204">
        <v>4</v>
      </c>
      <c r="I204" t="s">
        <v>212</v>
      </c>
      <c r="O204" s="29" t="s">
        <v>267</v>
      </c>
      <c r="R204" t="s">
        <v>229</v>
      </c>
      <c r="T204" t="s">
        <v>733</v>
      </c>
      <c r="W204" t="s">
        <v>567</v>
      </c>
      <c r="Y204" t="s">
        <v>87</v>
      </c>
      <c r="Z204" s="22">
        <v>1.1000000000000001</v>
      </c>
      <c r="AA204" s="22">
        <v>0.5</v>
      </c>
      <c r="AB204" s="36">
        <v>54.55</v>
      </c>
      <c r="AC204" s="22" t="s">
        <v>277</v>
      </c>
      <c r="AD204">
        <v>0.3</v>
      </c>
      <c r="AE204">
        <v>2.4</v>
      </c>
      <c r="AJ204">
        <v>0.37</v>
      </c>
      <c r="AK204">
        <v>0.26</v>
      </c>
      <c r="AL204" s="36">
        <v>29.73</v>
      </c>
      <c r="AM204">
        <v>5.0000000000000001E-3</v>
      </c>
      <c r="AN204">
        <v>1.7</v>
      </c>
      <c r="AQ204" t="s">
        <v>88</v>
      </c>
      <c r="AR204" t="s">
        <v>88</v>
      </c>
      <c r="AS204" t="s">
        <v>87</v>
      </c>
      <c r="AT204">
        <v>7.5</v>
      </c>
      <c r="AV204" t="s">
        <v>378</v>
      </c>
      <c r="AW204" t="s">
        <v>574</v>
      </c>
      <c r="AX204" t="s">
        <v>523</v>
      </c>
      <c r="BE204">
        <v>7.1</v>
      </c>
      <c r="BH204">
        <v>46</v>
      </c>
      <c r="BK204">
        <v>2.2000000000000002</v>
      </c>
      <c r="BN204">
        <v>9.3000000000000007</v>
      </c>
      <c r="BP204">
        <v>1324</v>
      </c>
      <c r="BT204">
        <v>1</v>
      </c>
      <c r="BX204" t="s">
        <v>578</v>
      </c>
      <c r="BY204" t="s">
        <v>96</v>
      </c>
      <c r="BZ204" t="s">
        <v>95</v>
      </c>
      <c r="CO204" t="s">
        <v>261</v>
      </c>
      <c r="CQ204" t="s">
        <v>580</v>
      </c>
      <c r="CR204" t="s">
        <v>599</v>
      </c>
      <c r="CU204" t="s">
        <v>261</v>
      </c>
      <c r="CV204" t="s">
        <v>261</v>
      </c>
      <c r="CY204" s="24" t="s">
        <v>898</v>
      </c>
    </row>
    <row r="205" spans="1:103" x14ac:dyDescent="0.35">
      <c r="A205">
        <v>63</v>
      </c>
      <c r="B205" s="1">
        <v>307</v>
      </c>
      <c r="C205" t="s">
        <v>160</v>
      </c>
      <c r="D205">
        <v>1986</v>
      </c>
      <c r="E205" t="s">
        <v>571</v>
      </c>
      <c r="G205" t="s">
        <v>567</v>
      </c>
      <c r="H205">
        <v>4</v>
      </c>
      <c r="I205" t="s">
        <v>212</v>
      </c>
      <c r="O205" s="29" t="s">
        <v>267</v>
      </c>
      <c r="R205" t="s">
        <v>229</v>
      </c>
      <c r="T205" t="s">
        <v>733</v>
      </c>
      <c r="W205" t="s">
        <v>567</v>
      </c>
      <c r="Y205" t="s">
        <v>87</v>
      </c>
      <c r="Z205" s="22">
        <v>3.2</v>
      </c>
      <c r="AA205" s="22">
        <v>0.62</v>
      </c>
      <c r="AB205" s="36">
        <v>80.63</v>
      </c>
      <c r="AC205" s="22" t="s">
        <v>277</v>
      </c>
      <c r="AD205">
        <v>0.8</v>
      </c>
      <c r="AE205">
        <v>9.1</v>
      </c>
      <c r="AJ205">
        <v>0.4</v>
      </c>
      <c r="AK205">
        <v>0.34</v>
      </c>
      <c r="AL205" s="36">
        <v>15</v>
      </c>
      <c r="AM205">
        <v>0.01</v>
      </c>
      <c r="AN205">
        <v>3</v>
      </c>
      <c r="AQ205" t="s">
        <v>88</v>
      </c>
      <c r="AR205" t="s">
        <v>88</v>
      </c>
      <c r="AS205" t="s">
        <v>87</v>
      </c>
      <c r="AT205">
        <v>7.3</v>
      </c>
      <c r="AV205" t="s">
        <v>378</v>
      </c>
      <c r="AW205" t="s">
        <v>575</v>
      </c>
      <c r="AX205" t="s">
        <v>523</v>
      </c>
      <c r="BE205">
        <v>21.35</v>
      </c>
      <c r="BH205">
        <v>79.099999999999994</v>
      </c>
      <c r="BK205">
        <v>2.65</v>
      </c>
      <c r="BN205">
        <v>-24.8</v>
      </c>
      <c r="BP205">
        <v>1324</v>
      </c>
      <c r="BT205">
        <v>1</v>
      </c>
      <c r="BX205" t="s">
        <v>578</v>
      </c>
      <c r="BY205" t="s">
        <v>96</v>
      </c>
      <c r="BZ205" t="s">
        <v>95</v>
      </c>
      <c r="CM205" s="28" t="s">
        <v>583</v>
      </c>
      <c r="CO205" t="s">
        <v>261</v>
      </c>
      <c r="CQ205" t="s">
        <v>580</v>
      </c>
      <c r="CR205" t="s">
        <v>600</v>
      </c>
      <c r="CU205" t="s">
        <v>261</v>
      </c>
      <c r="CV205" t="s">
        <v>261</v>
      </c>
      <c r="CY205" s="24" t="s">
        <v>898</v>
      </c>
    </row>
    <row r="206" spans="1:103" x14ac:dyDescent="0.35">
      <c r="A206">
        <v>64</v>
      </c>
      <c r="B206" s="1">
        <v>307</v>
      </c>
      <c r="C206" t="s">
        <v>160</v>
      </c>
      <c r="D206">
        <v>1986</v>
      </c>
      <c r="E206" t="s">
        <v>572</v>
      </c>
      <c r="G206" t="s">
        <v>567</v>
      </c>
      <c r="H206">
        <v>4</v>
      </c>
      <c r="I206" t="s">
        <v>212</v>
      </c>
      <c r="O206" s="29" t="s">
        <v>267</v>
      </c>
      <c r="R206" t="s">
        <v>229</v>
      </c>
      <c r="T206" t="s">
        <v>733</v>
      </c>
      <c r="W206" t="s">
        <v>567</v>
      </c>
      <c r="Y206" t="s">
        <v>87</v>
      </c>
      <c r="Z206" s="22">
        <v>3.2</v>
      </c>
      <c r="AA206" s="22">
        <v>0.99</v>
      </c>
      <c r="AB206" s="36">
        <v>69.06</v>
      </c>
      <c r="AC206" s="22" t="s">
        <v>277</v>
      </c>
      <c r="AD206">
        <v>0.8</v>
      </c>
      <c r="AE206">
        <v>9.1</v>
      </c>
      <c r="AJ206">
        <v>0.4</v>
      </c>
      <c r="AK206">
        <v>0.49</v>
      </c>
      <c r="AL206" s="36">
        <v>-22.5</v>
      </c>
      <c r="AM206">
        <v>0.01</v>
      </c>
      <c r="AN206">
        <v>3</v>
      </c>
      <c r="AQ206" t="s">
        <v>88</v>
      </c>
      <c r="AR206" t="s">
        <v>88</v>
      </c>
      <c r="AS206" t="s">
        <v>87</v>
      </c>
      <c r="AT206">
        <v>7.3</v>
      </c>
      <c r="AV206" t="s">
        <v>378</v>
      </c>
      <c r="AW206" t="s">
        <v>576</v>
      </c>
      <c r="AX206" t="s">
        <v>523</v>
      </c>
      <c r="BE206">
        <v>27.45</v>
      </c>
      <c r="BH206">
        <v>65.5</v>
      </c>
      <c r="BK206">
        <v>3.05</v>
      </c>
      <c r="BN206">
        <v>-82.8</v>
      </c>
      <c r="BP206">
        <v>941</v>
      </c>
      <c r="BT206">
        <v>1</v>
      </c>
      <c r="BX206" t="s">
        <v>579</v>
      </c>
      <c r="BY206" t="s">
        <v>96</v>
      </c>
      <c r="BZ206" t="s">
        <v>95</v>
      </c>
      <c r="CM206" s="28" t="s">
        <v>584</v>
      </c>
      <c r="CO206" t="s">
        <v>261</v>
      </c>
      <c r="CQ206" t="s">
        <v>580</v>
      </c>
      <c r="CR206" t="s">
        <v>83</v>
      </c>
      <c r="CU206" t="s">
        <v>261</v>
      </c>
      <c r="CV206" t="s">
        <v>261</v>
      </c>
      <c r="CY206" s="24" t="s">
        <v>898</v>
      </c>
    </row>
    <row r="207" spans="1:103" x14ac:dyDescent="0.35">
      <c r="A207">
        <v>134</v>
      </c>
      <c r="B207" s="1">
        <v>308</v>
      </c>
      <c r="C207" t="s">
        <v>119</v>
      </c>
      <c r="D207">
        <v>2018</v>
      </c>
      <c r="E207" t="s">
        <v>908</v>
      </c>
      <c r="G207" s="29" t="s">
        <v>272</v>
      </c>
      <c r="H207">
        <v>1</v>
      </c>
      <c r="I207" t="s">
        <v>175</v>
      </c>
      <c r="J207" s="14">
        <v>55.956389999999999</v>
      </c>
      <c r="K207" s="14">
        <v>10.15889</v>
      </c>
      <c r="M207" s="15"/>
      <c r="O207" s="29" t="s">
        <v>267</v>
      </c>
      <c r="Q207" s="18">
        <v>29</v>
      </c>
      <c r="R207" t="s">
        <v>176</v>
      </c>
      <c r="S207" s="24" t="s">
        <v>82</v>
      </c>
      <c r="T207" t="s">
        <v>231</v>
      </c>
      <c r="V207" t="s">
        <v>187</v>
      </c>
      <c r="W207" s="29" t="s">
        <v>272</v>
      </c>
      <c r="X207" t="s">
        <v>238</v>
      </c>
      <c r="Y207" t="s">
        <v>87</v>
      </c>
      <c r="Z207" s="14"/>
      <c r="AA207" s="22"/>
      <c r="AQ207" t="s">
        <v>87</v>
      </c>
      <c r="AR207" t="s">
        <v>88</v>
      </c>
      <c r="AS207" t="s">
        <v>87</v>
      </c>
      <c r="AV207" t="s">
        <v>231</v>
      </c>
      <c r="AW207" s="29" t="s">
        <v>272</v>
      </c>
      <c r="AX207" t="s">
        <v>219</v>
      </c>
      <c r="BC207" t="s">
        <v>237</v>
      </c>
      <c r="BD207" t="s">
        <v>87</v>
      </c>
      <c r="BE207" s="17">
        <v>1.1000000000000001</v>
      </c>
      <c r="BF207" s="38">
        <v>0.8</v>
      </c>
      <c r="BG207" s="21">
        <v>0.3</v>
      </c>
      <c r="BH207">
        <v>32</v>
      </c>
      <c r="BP207" s="13">
        <v>8950</v>
      </c>
      <c r="BQ207">
        <v>80</v>
      </c>
      <c r="BR207">
        <v>1.1000000000000001</v>
      </c>
      <c r="BT207">
        <v>6</v>
      </c>
      <c r="BV207">
        <v>0.3</v>
      </c>
      <c r="BW207">
        <v>1</v>
      </c>
      <c r="BX207" t="s">
        <v>228</v>
      </c>
      <c r="BY207" t="s">
        <v>96</v>
      </c>
      <c r="CD207" s="15">
        <v>9</v>
      </c>
      <c r="CH207" t="s">
        <v>104</v>
      </c>
      <c r="CI207" t="s">
        <v>178</v>
      </c>
      <c r="CK207" t="s">
        <v>220</v>
      </c>
      <c r="CY207" s="24" t="s">
        <v>841</v>
      </c>
    </row>
    <row r="208" spans="1:103" x14ac:dyDescent="0.35">
      <c r="A208">
        <v>135</v>
      </c>
      <c r="B208" s="1">
        <v>308</v>
      </c>
      <c r="C208" t="s">
        <v>119</v>
      </c>
      <c r="D208">
        <v>2018</v>
      </c>
      <c r="E208" t="s">
        <v>908</v>
      </c>
      <c r="G208" s="29" t="s">
        <v>273</v>
      </c>
      <c r="H208">
        <v>1</v>
      </c>
      <c r="I208" t="s">
        <v>175</v>
      </c>
      <c r="J208" s="14">
        <v>55.956389999999999</v>
      </c>
      <c r="K208" s="14">
        <v>10.15889</v>
      </c>
      <c r="M208" s="15"/>
      <c r="O208" s="29" t="s">
        <v>267</v>
      </c>
      <c r="Q208" s="18">
        <v>53</v>
      </c>
      <c r="R208" t="s">
        <v>176</v>
      </c>
      <c r="S208" s="24" t="s">
        <v>82</v>
      </c>
      <c r="T208" t="s">
        <v>231</v>
      </c>
      <c r="V208" t="s">
        <v>187</v>
      </c>
      <c r="W208" s="29" t="s">
        <v>273</v>
      </c>
      <c r="X208" t="s">
        <v>238</v>
      </c>
      <c r="Y208" t="s">
        <v>87</v>
      </c>
      <c r="Z208" s="14"/>
      <c r="AA208" s="22"/>
      <c r="AQ208" t="s">
        <v>87</v>
      </c>
      <c r="AR208" t="s">
        <v>88</v>
      </c>
      <c r="AS208" t="s">
        <v>87</v>
      </c>
      <c r="AV208" t="s">
        <v>231</v>
      </c>
      <c r="AW208" s="29" t="s">
        <v>273</v>
      </c>
      <c r="AX208" t="s">
        <v>219</v>
      </c>
      <c r="BC208" t="s">
        <v>237</v>
      </c>
      <c r="BD208" t="s">
        <v>87</v>
      </c>
      <c r="BE208" s="17">
        <v>5.0999999999999996</v>
      </c>
      <c r="BF208" s="38">
        <v>3.3</v>
      </c>
      <c r="BG208" s="21">
        <v>1.8</v>
      </c>
      <c r="BH208">
        <v>35</v>
      </c>
      <c r="BP208" s="13">
        <v>8950</v>
      </c>
      <c r="BQ208">
        <v>80</v>
      </c>
      <c r="BR208">
        <v>1.1000000000000001</v>
      </c>
      <c r="BT208">
        <v>6</v>
      </c>
      <c r="BV208">
        <v>0.3</v>
      </c>
      <c r="BW208">
        <v>1</v>
      </c>
      <c r="BX208" t="s">
        <v>228</v>
      </c>
      <c r="BY208" t="s">
        <v>96</v>
      </c>
      <c r="CD208" s="15">
        <v>28</v>
      </c>
      <c r="CH208" t="s">
        <v>104</v>
      </c>
      <c r="CI208" t="s">
        <v>178</v>
      </c>
      <c r="CK208" t="s">
        <v>220</v>
      </c>
      <c r="CY208" s="24" t="s">
        <v>841</v>
      </c>
    </row>
    <row r="209" spans="1:103" x14ac:dyDescent="0.35">
      <c r="A209">
        <v>136</v>
      </c>
      <c r="B209" s="1">
        <v>308</v>
      </c>
      <c r="C209" t="s">
        <v>119</v>
      </c>
      <c r="D209">
        <v>2018</v>
      </c>
      <c r="E209" t="s">
        <v>909</v>
      </c>
      <c r="G209" s="29" t="s">
        <v>272</v>
      </c>
      <c r="H209">
        <v>1</v>
      </c>
      <c r="I209" t="s">
        <v>175</v>
      </c>
      <c r="J209" s="14">
        <v>57.21528</v>
      </c>
      <c r="K209" s="14">
        <v>10.00361</v>
      </c>
      <c r="M209" s="15"/>
      <c r="O209" s="29" t="s">
        <v>267</v>
      </c>
      <c r="Q209">
        <v>3</v>
      </c>
      <c r="R209" t="s">
        <v>176</v>
      </c>
      <c r="S209" s="24" t="s">
        <v>82</v>
      </c>
      <c r="T209" t="s">
        <v>231</v>
      </c>
      <c r="V209" t="s">
        <v>187</v>
      </c>
      <c r="W209" s="29" t="s">
        <v>272</v>
      </c>
      <c r="X209" t="s">
        <v>238</v>
      </c>
      <c r="Y209" t="s">
        <v>87</v>
      </c>
      <c r="Z209" s="14"/>
      <c r="AA209" s="22"/>
      <c r="AQ209" t="s">
        <v>87</v>
      </c>
      <c r="AR209" t="s">
        <v>88</v>
      </c>
      <c r="AS209" t="s">
        <v>87</v>
      </c>
      <c r="AV209" t="s">
        <v>231</v>
      </c>
      <c r="AW209" s="29" t="s">
        <v>272</v>
      </c>
      <c r="AX209" t="s">
        <v>219</v>
      </c>
      <c r="BC209" t="s">
        <v>237</v>
      </c>
      <c r="BD209" t="s">
        <v>87</v>
      </c>
      <c r="BE209" s="17">
        <v>11</v>
      </c>
      <c r="BF209" s="38">
        <v>6.7</v>
      </c>
      <c r="BG209" s="21">
        <v>4.3</v>
      </c>
      <c r="BH209">
        <v>43</v>
      </c>
      <c r="BP209" s="13">
        <v>21190</v>
      </c>
      <c r="BQ209">
        <v>230</v>
      </c>
      <c r="BR209">
        <v>0.9</v>
      </c>
      <c r="BT209">
        <v>6</v>
      </c>
      <c r="BV209">
        <v>0.3</v>
      </c>
      <c r="BW209">
        <v>1</v>
      </c>
      <c r="BX209" t="s">
        <v>228</v>
      </c>
      <c r="BY209" t="s">
        <v>96</v>
      </c>
      <c r="CD209">
        <v>52</v>
      </c>
      <c r="CH209" t="s">
        <v>181</v>
      </c>
      <c r="CI209" t="s">
        <v>179</v>
      </c>
      <c r="CK209" t="s">
        <v>220</v>
      </c>
      <c r="CY209" s="24" t="s">
        <v>841</v>
      </c>
    </row>
    <row r="210" spans="1:103" x14ac:dyDescent="0.35">
      <c r="A210">
        <v>137</v>
      </c>
      <c r="B210" s="1">
        <v>308</v>
      </c>
      <c r="C210" t="s">
        <v>119</v>
      </c>
      <c r="D210">
        <v>2018</v>
      </c>
      <c r="E210" t="s">
        <v>909</v>
      </c>
      <c r="G210" s="29" t="s">
        <v>273</v>
      </c>
      <c r="H210">
        <v>1</v>
      </c>
      <c r="I210" t="s">
        <v>175</v>
      </c>
      <c r="J210" s="14">
        <v>57.21528</v>
      </c>
      <c r="K210" s="14">
        <v>10.00361</v>
      </c>
      <c r="M210" s="15"/>
      <c r="O210" s="29" t="s">
        <v>267</v>
      </c>
      <c r="Q210">
        <v>27</v>
      </c>
      <c r="R210" t="s">
        <v>176</v>
      </c>
      <c r="S210" s="24" t="s">
        <v>82</v>
      </c>
      <c r="T210" t="s">
        <v>231</v>
      </c>
      <c r="V210" t="s">
        <v>187</v>
      </c>
      <c r="W210" s="29" t="s">
        <v>273</v>
      </c>
      <c r="X210" t="s">
        <v>238</v>
      </c>
      <c r="Y210" t="s">
        <v>87</v>
      </c>
      <c r="Z210" s="14"/>
      <c r="AA210" s="22"/>
      <c r="AQ210" t="s">
        <v>87</v>
      </c>
      <c r="AR210" t="s">
        <v>88</v>
      </c>
      <c r="AS210" t="s">
        <v>87</v>
      </c>
      <c r="AV210" t="s">
        <v>231</v>
      </c>
      <c r="AW210" s="29" t="s">
        <v>273</v>
      </c>
      <c r="AX210" t="s">
        <v>219</v>
      </c>
      <c r="BC210" t="s">
        <v>237</v>
      </c>
      <c r="BD210" t="s">
        <v>87</v>
      </c>
      <c r="BE210" s="17">
        <v>17</v>
      </c>
      <c r="BF210" s="38">
        <v>6.5</v>
      </c>
      <c r="BG210" s="21">
        <v>10.5</v>
      </c>
      <c r="BH210">
        <v>62</v>
      </c>
      <c r="BP210" s="13">
        <v>21190</v>
      </c>
      <c r="BQ210">
        <v>230</v>
      </c>
      <c r="BR210">
        <v>0.9</v>
      </c>
      <c r="BT210">
        <v>6</v>
      </c>
      <c r="BV210">
        <v>0.3</v>
      </c>
      <c r="BW210">
        <v>1</v>
      </c>
      <c r="BX210" t="s">
        <v>228</v>
      </c>
      <c r="BY210" t="s">
        <v>96</v>
      </c>
      <c r="CD210" s="15">
        <v>64</v>
      </c>
      <c r="CH210" t="s">
        <v>181</v>
      </c>
      <c r="CI210" t="s">
        <v>179</v>
      </c>
      <c r="CK210" t="s">
        <v>220</v>
      </c>
      <c r="CY210" s="24" t="s">
        <v>841</v>
      </c>
    </row>
    <row r="211" spans="1:103" x14ac:dyDescent="0.35">
      <c r="A211">
        <v>138</v>
      </c>
      <c r="B211" s="1">
        <v>308</v>
      </c>
      <c r="C211" t="s">
        <v>119</v>
      </c>
      <c r="D211">
        <v>2018</v>
      </c>
      <c r="E211" t="s">
        <v>910</v>
      </c>
      <c r="G211" s="29" t="s">
        <v>272</v>
      </c>
      <c r="H211">
        <v>1</v>
      </c>
      <c r="I211" t="s">
        <v>175</v>
      </c>
      <c r="J211" s="14">
        <v>57.142780000000002</v>
      </c>
      <c r="K211" s="14">
        <v>9.6680600000000005</v>
      </c>
      <c r="M211" s="15"/>
      <c r="O211" s="29" t="s">
        <v>267</v>
      </c>
      <c r="Q211">
        <v>1</v>
      </c>
      <c r="R211" t="s">
        <v>176</v>
      </c>
      <c r="S211" s="24" t="s">
        <v>82</v>
      </c>
      <c r="T211" t="s">
        <v>231</v>
      </c>
      <c r="V211" t="s">
        <v>187</v>
      </c>
      <c r="W211" s="29" t="s">
        <v>272</v>
      </c>
      <c r="X211" t="s">
        <v>238</v>
      </c>
      <c r="Y211" t="s">
        <v>87</v>
      </c>
      <c r="Z211" s="14"/>
      <c r="AA211" s="22"/>
      <c r="AQ211" t="s">
        <v>87</v>
      </c>
      <c r="AR211" t="s">
        <v>88</v>
      </c>
      <c r="AS211" t="s">
        <v>87</v>
      </c>
      <c r="AV211" t="s">
        <v>231</v>
      </c>
      <c r="AW211" s="29" t="s">
        <v>272</v>
      </c>
      <c r="AX211" t="s">
        <v>219</v>
      </c>
      <c r="BC211" t="s">
        <v>237</v>
      </c>
      <c r="BD211" t="s">
        <v>87</v>
      </c>
      <c r="BE211" s="17">
        <v>7.3</v>
      </c>
      <c r="BF211" s="38">
        <v>3</v>
      </c>
      <c r="BG211" s="21">
        <v>4.3</v>
      </c>
      <c r="BH211">
        <v>59</v>
      </c>
      <c r="BP211" s="13">
        <v>8480</v>
      </c>
      <c r="BQ211">
        <v>80</v>
      </c>
      <c r="BR211">
        <v>1.1000000000000001</v>
      </c>
      <c r="BT211">
        <v>6</v>
      </c>
      <c r="BV211">
        <v>0.3</v>
      </c>
      <c r="BW211">
        <v>1</v>
      </c>
      <c r="BX211" t="s">
        <v>228</v>
      </c>
      <c r="BY211" t="s">
        <v>96</v>
      </c>
      <c r="CD211">
        <v>29</v>
      </c>
      <c r="CH211" t="s">
        <v>104</v>
      </c>
      <c r="CI211" t="s">
        <v>180</v>
      </c>
      <c r="CK211" t="s">
        <v>220</v>
      </c>
      <c r="CY211" s="24" t="s">
        <v>841</v>
      </c>
    </row>
    <row r="212" spans="1:103" x14ac:dyDescent="0.35">
      <c r="A212">
        <v>139</v>
      </c>
      <c r="B212" s="1">
        <v>308</v>
      </c>
      <c r="C212" t="s">
        <v>119</v>
      </c>
      <c r="D212">
        <v>2018</v>
      </c>
      <c r="E212" t="s">
        <v>910</v>
      </c>
      <c r="G212" s="29" t="s">
        <v>273</v>
      </c>
      <c r="H212">
        <v>1</v>
      </c>
      <c r="I212" t="s">
        <v>175</v>
      </c>
      <c r="J212" s="14">
        <v>57.142780000000002</v>
      </c>
      <c r="K212" s="14">
        <v>9.6680600000000005</v>
      </c>
      <c r="M212" s="15"/>
      <c r="O212" s="29" t="s">
        <v>267</v>
      </c>
      <c r="Q212">
        <v>25</v>
      </c>
      <c r="R212" t="s">
        <v>176</v>
      </c>
      <c r="S212" s="24" t="s">
        <v>82</v>
      </c>
      <c r="T212" t="s">
        <v>231</v>
      </c>
      <c r="V212" t="s">
        <v>187</v>
      </c>
      <c r="W212" s="29" t="s">
        <v>273</v>
      </c>
      <c r="X212" t="s">
        <v>238</v>
      </c>
      <c r="Y212" t="s">
        <v>87</v>
      </c>
      <c r="Z212" s="14"/>
      <c r="AA212" s="22"/>
      <c r="AQ212" t="s">
        <v>87</v>
      </c>
      <c r="AR212" t="s">
        <v>88</v>
      </c>
      <c r="AS212" t="s">
        <v>87</v>
      </c>
      <c r="AV212" t="s">
        <v>231</v>
      </c>
      <c r="AW212" s="29" t="s">
        <v>273</v>
      </c>
      <c r="AX212" t="s">
        <v>219</v>
      </c>
      <c r="BC212" t="s">
        <v>237</v>
      </c>
      <c r="BD212" t="s">
        <v>87</v>
      </c>
      <c r="BE212" s="17">
        <v>16.399999999999999</v>
      </c>
      <c r="BF212" s="38">
        <v>9.5</v>
      </c>
      <c r="BG212" s="21">
        <v>6.9</v>
      </c>
      <c r="BH212">
        <v>42</v>
      </c>
      <c r="BP212" s="13">
        <v>8480</v>
      </c>
      <c r="BQ212">
        <v>80</v>
      </c>
      <c r="BR212">
        <v>1.1000000000000001</v>
      </c>
      <c r="BT212">
        <v>6</v>
      </c>
      <c r="BV212">
        <v>0.3</v>
      </c>
      <c r="BW212">
        <v>1</v>
      </c>
      <c r="BX212" t="s">
        <v>228</v>
      </c>
      <c r="BY212" t="s">
        <v>96</v>
      </c>
      <c r="CD212">
        <v>37</v>
      </c>
      <c r="CH212" t="s">
        <v>104</v>
      </c>
      <c r="CI212" t="s">
        <v>180</v>
      </c>
      <c r="CK212" t="s">
        <v>220</v>
      </c>
      <c r="CY212" s="24" t="s">
        <v>841</v>
      </c>
    </row>
    <row r="213" spans="1:103" x14ac:dyDescent="0.35">
      <c r="A213">
        <v>140</v>
      </c>
      <c r="B213" s="1">
        <v>308</v>
      </c>
      <c r="C213" t="s">
        <v>380</v>
      </c>
      <c r="D213">
        <v>2018</v>
      </c>
      <c r="E213" t="s">
        <v>908</v>
      </c>
      <c r="G213" s="29" t="s">
        <v>216</v>
      </c>
      <c r="H213">
        <v>1</v>
      </c>
      <c r="I213" t="s">
        <v>175</v>
      </c>
      <c r="J213" s="14">
        <v>55.956389999999999</v>
      </c>
      <c r="K213" s="14">
        <v>10.15889</v>
      </c>
      <c r="M213" s="15"/>
      <c r="O213" s="29" t="s">
        <v>267</v>
      </c>
      <c r="Q213" s="18">
        <v>41</v>
      </c>
      <c r="R213" t="s">
        <v>176</v>
      </c>
      <c r="S213" s="24" t="s">
        <v>82</v>
      </c>
      <c r="T213" t="s">
        <v>231</v>
      </c>
      <c r="V213" t="s">
        <v>187</v>
      </c>
      <c r="W213" s="29" t="s">
        <v>216</v>
      </c>
      <c r="X213" t="s">
        <v>238</v>
      </c>
      <c r="Y213" t="s">
        <v>87</v>
      </c>
      <c r="Z213" s="14"/>
      <c r="AA213" s="22"/>
      <c r="AQ213" t="s">
        <v>87</v>
      </c>
      <c r="AR213" t="s">
        <v>88</v>
      </c>
      <c r="AS213" t="s">
        <v>88</v>
      </c>
      <c r="AV213" t="s">
        <v>231</v>
      </c>
      <c r="AW213" s="29" t="s">
        <v>216</v>
      </c>
      <c r="AX213" t="s">
        <v>219</v>
      </c>
      <c r="BC213" t="s">
        <v>237</v>
      </c>
      <c r="BD213" t="s">
        <v>87</v>
      </c>
      <c r="BE213" s="17">
        <v>2.2000000000000002</v>
      </c>
      <c r="BF213" s="38">
        <v>0.8</v>
      </c>
      <c r="BG213" s="21">
        <v>1.4</v>
      </c>
      <c r="BH213">
        <v>28</v>
      </c>
      <c r="BP213" s="13">
        <v>8950</v>
      </c>
      <c r="BQ213">
        <v>80</v>
      </c>
      <c r="BR213">
        <v>1.1000000000000001</v>
      </c>
      <c r="BT213">
        <v>6</v>
      </c>
      <c r="BV213">
        <v>0.3</v>
      </c>
      <c r="BW213">
        <v>1</v>
      </c>
      <c r="BX213" t="s">
        <v>228</v>
      </c>
      <c r="BY213" t="s">
        <v>96</v>
      </c>
      <c r="CD213" s="15">
        <v>14</v>
      </c>
      <c r="CH213" t="s">
        <v>104</v>
      </c>
      <c r="CI213" t="s">
        <v>178</v>
      </c>
      <c r="CJ213" t="s">
        <v>383</v>
      </c>
      <c r="CK213" t="s">
        <v>220</v>
      </c>
      <c r="CM213">
        <v>-132</v>
      </c>
      <c r="CY213" s="24" t="s">
        <v>841</v>
      </c>
    </row>
    <row r="214" spans="1:103" x14ac:dyDescent="0.35">
      <c r="A214">
        <v>141</v>
      </c>
      <c r="B214" s="1">
        <v>308</v>
      </c>
      <c r="C214" t="s">
        <v>380</v>
      </c>
      <c r="D214">
        <v>2018</v>
      </c>
      <c r="E214" t="s">
        <v>909</v>
      </c>
      <c r="G214" s="29" t="s">
        <v>216</v>
      </c>
      <c r="H214">
        <v>1</v>
      </c>
      <c r="I214" t="s">
        <v>175</v>
      </c>
      <c r="J214" s="14">
        <v>57.21528</v>
      </c>
      <c r="K214" s="14">
        <v>10.00361</v>
      </c>
      <c r="M214" s="15"/>
      <c r="O214" s="29" t="s">
        <v>267</v>
      </c>
      <c r="Q214">
        <v>15</v>
      </c>
      <c r="R214" t="s">
        <v>176</v>
      </c>
      <c r="S214" s="24" t="s">
        <v>82</v>
      </c>
      <c r="T214" t="s">
        <v>231</v>
      </c>
      <c r="V214" t="s">
        <v>187</v>
      </c>
      <c r="W214" s="29" t="s">
        <v>216</v>
      </c>
      <c r="X214" t="s">
        <v>238</v>
      </c>
      <c r="Y214" t="s">
        <v>87</v>
      </c>
      <c r="Z214" s="14"/>
      <c r="AA214" s="22"/>
      <c r="AQ214" t="s">
        <v>87</v>
      </c>
      <c r="AR214" t="s">
        <v>88</v>
      </c>
      <c r="AS214" t="s">
        <v>88</v>
      </c>
      <c r="AV214" t="s">
        <v>231</v>
      </c>
      <c r="AW214" s="29" t="s">
        <v>216</v>
      </c>
      <c r="AX214" t="s">
        <v>219</v>
      </c>
      <c r="BC214" t="s">
        <v>237</v>
      </c>
      <c r="BD214" t="s">
        <v>87</v>
      </c>
      <c r="BE214" s="17">
        <v>12.4</v>
      </c>
      <c r="BF214" s="38">
        <v>7</v>
      </c>
      <c r="BG214" s="21">
        <v>5.4</v>
      </c>
      <c r="BH214">
        <v>43</v>
      </c>
      <c r="BP214" s="13">
        <v>21190</v>
      </c>
      <c r="BQ214">
        <v>230</v>
      </c>
      <c r="BR214">
        <v>0.9</v>
      </c>
      <c r="BT214">
        <v>6</v>
      </c>
      <c r="BV214">
        <v>0.3</v>
      </c>
      <c r="BW214">
        <v>1</v>
      </c>
      <c r="BX214" t="s">
        <v>228</v>
      </c>
      <c r="BY214" t="s">
        <v>96</v>
      </c>
      <c r="CD214" s="15">
        <v>66</v>
      </c>
      <c r="CH214" t="s">
        <v>181</v>
      </c>
      <c r="CI214" t="s">
        <v>179</v>
      </c>
      <c r="CJ214" t="s">
        <v>384</v>
      </c>
      <c r="CK214" t="s">
        <v>220</v>
      </c>
      <c r="CM214">
        <v>-132</v>
      </c>
      <c r="CY214" s="24" t="s">
        <v>841</v>
      </c>
    </row>
    <row r="215" spans="1:103" x14ac:dyDescent="0.35">
      <c r="A215">
        <v>142</v>
      </c>
      <c r="B215" s="1">
        <v>308</v>
      </c>
      <c r="C215" t="s">
        <v>380</v>
      </c>
      <c r="D215">
        <v>2018</v>
      </c>
      <c r="E215" t="s">
        <v>910</v>
      </c>
      <c r="G215" s="29" t="s">
        <v>216</v>
      </c>
      <c r="H215">
        <v>1</v>
      </c>
      <c r="I215" t="s">
        <v>175</v>
      </c>
      <c r="J215" s="14">
        <v>57.142780000000002</v>
      </c>
      <c r="K215" s="14">
        <v>9.6680600000000005</v>
      </c>
      <c r="M215" s="15"/>
      <c r="O215" s="29" t="s">
        <v>267</v>
      </c>
      <c r="Q215">
        <v>13</v>
      </c>
      <c r="R215" t="s">
        <v>176</v>
      </c>
      <c r="S215" s="24" t="s">
        <v>82</v>
      </c>
      <c r="T215" t="s">
        <v>231</v>
      </c>
      <c r="V215" t="s">
        <v>187</v>
      </c>
      <c r="W215" s="29" t="s">
        <v>216</v>
      </c>
      <c r="X215" t="s">
        <v>238</v>
      </c>
      <c r="Y215" t="s">
        <v>87</v>
      </c>
      <c r="Z215" s="14"/>
      <c r="AA215" s="22"/>
      <c r="AQ215" t="s">
        <v>87</v>
      </c>
      <c r="AR215" t="s">
        <v>88</v>
      </c>
      <c r="AS215" t="s">
        <v>88</v>
      </c>
      <c r="AV215" t="s">
        <v>231</v>
      </c>
      <c r="AW215" s="29" t="s">
        <v>216</v>
      </c>
      <c r="AX215" t="s">
        <v>219</v>
      </c>
      <c r="BC215" t="s">
        <v>237</v>
      </c>
      <c r="BD215" t="s">
        <v>87</v>
      </c>
      <c r="BE215" s="17">
        <v>7.7</v>
      </c>
      <c r="BF215" s="38">
        <v>5.9</v>
      </c>
      <c r="BG215" s="21">
        <v>1.8</v>
      </c>
      <c r="BH215">
        <v>24</v>
      </c>
      <c r="BP215" s="13">
        <v>8480</v>
      </c>
      <c r="BQ215">
        <v>80</v>
      </c>
      <c r="BR215">
        <v>1.1000000000000001</v>
      </c>
      <c r="BT215">
        <v>6</v>
      </c>
      <c r="BV215">
        <v>0.3</v>
      </c>
      <c r="BW215">
        <v>1</v>
      </c>
      <c r="BX215" t="s">
        <v>228</v>
      </c>
      <c r="BY215" t="s">
        <v>96</v>
      </c>
      <c r="CD215">
        <v>32</v>
      </c>
      <c r="CH215" t="s">
        <v>104</v>
      </c>
      <c r="CI215" t="s">
        <v>180</v>
      </c>
      <c r="CJ215" t="s">
        <v>385</v>
      </c>
      <c r="CK215" t="s">
        <v>220</v>
      </c>
      <c r="CM215">
        <v>-132</v>
      </c>
      <c r="CY215" s="24" t="s">
        <v>841</v>
      </c>
    </row>
    <row r="216" spans="1:103" x14ac:dyDescent="0.35">
      <c r="A216">
        <v>29</v>
      </c>
      <c r="B216" s="1">
        <v>311</v>
      </c>
      <c r="C216" t="s">
        <v>150</v>
      </c>
      <c r="D216">
        <v>2018</v>
      </c>
      <c r="E216" t="s">
        <v>784</v>
      </c>
      <c r="G216" t="s">
        <v>272</v>
      </c>
      <c r="H216">
        <v>1</v>
      </c>
      <c r="I216" t="s">
        <v>175</v>
      </c>
      <c r="R216" t="s">
        <v>785</v>
      </c>
      <c r="T216" t="s">
        <v>354</v>
      </c>
      <c r="V216" t="s">
        <v>187</v>
      </c>
      <c r="W216" t="s">
        <v>272</v>
      </c>
      <c r="Y216" t="s">
        <v>87</v>
      </c>
      <c r="Z216" s="22">
        <v>0.125</v>
      </c>
      <c r="AA216" s="22">
        <v>7.9000000000000001E-2</v>
      </c>
      <c r="AB216" s="36">
        <v>36.799999999999997</v>
      </c>
      <c r="AC216" t="s">
        <v>277</v>
      </c>
      <c r="AQ216" t="s">
        <v>88</v>
      </c>
      <c r="AR216" t="s">
        <v>88</v>
      </c>
      <c r="AS216" t="s">
        <v>87</v>
      </c>
      <c r="AW216" t="s">
        <v>272</v>
      </c>
      <c r="AX216" s="24"/>
      <c r="AY216">
        <v>4730400</v>
      </c>
      <c r="BD216" t="s">
        <v>83</v>
      </c>
      <c r="BE216">
        <v>0.28000000000000003</v>
      </c>
      <c r="BF216" s="36">
        <v>0.18</v>
      </c>
      <c r="BG216">
        <v>0.1</v>
      </c>
      <c r="BH216" s="36">
        <v>35.72</v>
      </c>
      <c r="BK216">
        <v>0.18</v>
      </c>
      <c r="BL216" s="36">
        <v>0.105</v>
      </c>
      <c r="BM216">
        <v>7.4999999999999997E-2</v>
      </c>
      <c r="BN216" s="36">
        <v>41.67</v>
      </c>
      <c r="BP216">
        <v>5811</v>
      </c>
      <c r="BU216">
        <v>0.7</v>
      </c>
      <c r="BX216" t="s">
        <v>782</v>
      </c>
      <c r="BY216" t="s">
        <v>96</v>
      </c>
      <c r="BZ216" t="s">
        <v>95</v>
      </c>
      <c r="CC216">
        <v>7.68</v>
      </c>
      <c r="CD216">
        <v>813.95</v>
      </c>
      <c r="CY216" s="24" t="s">
        <v>786</v>
      </c>
    </row>
    <row r="217" spans="1:103" x14ac:dyDescent="0.35">
      <c r="A217">
        <v>101</v>
      </c>
      <c r="B217" s="1">
        <v>314</v>
      </c>
      <c r="C217" t="s">
        <v>121</v>
      </c>
      <c r="D217">
        <v>2019</v>
      </c>
      <c r="E217" t="s">
        <v>470</v>
      </c>
      <c r="G217" t="s">
        <v>412</v>
      </c>
      <c r="H217">
        <v>7</v>
      </c>
      <c r="I217" t="s">
        <v>190</v>
      </c>
      <c r="J217">
        <v>60.417000000000002</v>
      </c>
      <c r="K217">
        <v>24.367000000000001</v>
      </c>
      <c r="O217" t="s">
        <v>304</v>
      </c>
      <c r="R217" s="24" t="s">
        <v>220</v>
      </c>
      <c r="S217" s="24" t="s">
        <v>82</v>
      </c>
      <c r="U217">
        <v>173</v>
      </c>
      <c r="W217" t="s">
        <v>412</v>
      </c>
      <c r="Y217" t="s">
        <v>87</v>
      </c>
      <c r="Z217" s="22">
        <v>0.48</v>
      </c>
      <c r="AA217" s="22"/>
      <c r="AC217" t="s">
        <v>277</v>
      </c>
      <c r="AJ217">
        <v>7.0999999999999994E-2</v>
      </c>
      <c r="AQ217" t="s">
        <v>88</v>
      </c>
      <c r="AR217" t="s">
        <v>88</v>
      </c>
      <c r="AS217" t="s">
        <v>87</v>
      </c>
      <c r="AV217" t="s">
        <v>231</v>
      </c>
      <c r="AW217" t="s">
        <v>412</v>
      </c>
      <c r="AX217" t="s">
        <v>762</v>
      </c>
      <c r="BD217" t="s">
        <v>87</v>
      </c>
      <c r="BE217" s="23"/>
      <c r="BG217">
        <v>1.74</v>
      </c>
      <c r="BH217">
        <v>58</v>
      </c>
      <c r="BM217">
        <v>0.34</v>
      </c>
      <c r="BN217">
        <v>76</v>
      </c>
      <c r="BP217" s="13">
        <v>6000</v>
      </c>
      <c r="BQ217" s="13">
        <v>12</v>
      </c>
      <c r="BR217">
        <v>5</v>
      </c>
      <c r="BW217">
        <v>1.5</v>
      </c>
      <c r="BX217" t="s">
        <v>420</v>
      </c>
      <c r="BY217" t="s">
        <v>96</v>
      </c>
      <c r="BZ217" t="s">
        <v>95</v>
      </c>
      <c r="CC217">
        <v>847</v>
      </c>
      <c r="CD217">
        <v>6.13</v>
      </c>
      <c r="CI217" t="s">
        <v>760</v>
      </c>
      <c r="CQ217" t="s">
        <v>764</v>
      </c>
      <c r="CY217" s="24"/>
    </row>
    <row r="218" spans="1:103" x14ac:dyDescent="0.35">
      <c r="A218">
        <v>102</v>
      </c>
      <c r="B218" s="1">
        <v>314</v>
      </c>
      <c r="C218" t="s">
        <v>121</v>
      </c>
      <c r="D218">
        <v>2019</v>
      </c>
      <c r="E218" t="s">
        <v>473</v>
      </c>
      <c r="G218" t="s">
        <v>413</v>
      </c>
      <c r="H218">
        <v>4.5</v>
      </c>
      <c r="I218" t="s">
        <v>190</v>
      </c>
      <c r="O218" t="s">
        <v>304</v>
      </c>
      <c r="R218" s="24" t="s">
        <v>220</v>
      </c>
      <c r="S218" s="24" t="s">
        <v>82</v>
      </c>
      <c r="U218">
        <v>114</v>
      </c>
      <c r="W218" t="s">
        <v>413</v>
      </c>
      <c r="Y218" t="s">
        <v>87</v>
      </c>
      <c r="Z218" s="22">
        <v>0.221</v>
      </c>
      <c r="AA218" s="22"/>
      <c r="AC218" t="s">
        <v>277</v>
      </c>
      <c r="AJ218">
        <v>2.3E-2</v>
      </c>
      <c r="AQ218" t="s">
        <v>88</v>
      </c>
      <c r="AR218" t="s">
        <v>88</v>
      </c>
      <c r="AS218" t="s">
        <v>87</v>
      </c>
      <c r="AV218" t="s">
        <v>235</v>
      </c>
      <c r="AW218" t="s">
        <v>413</v>
      </c>
      <c r="AX218" t="s">
        <v>763</v>
      </c>
      <c r="BD218" t="s">
        <v>87</v>
      </c>
      <c r="BE218" s="23"/>
      <c r="BG218">
        <v>0.66</v>
      </c>
      <c r="BH218">
        <v>12</v>
      </c>
      <c r="BM218">
        <v>0.12</v>
      </c>
      <c r="BN218">
        <v>24</v>
      </c>
      <c r="BP218" s="13">
        <v>240000</v>
      </c>
      <c r="BQ218" s="13">
        <v>1920</v>
      </c>
      <c r="BR218">
        <v>1.3</v>
      </c>
      <c r="BX218" t="s">
        <v>420</v>
      </c>
      <c r="CC218">
        <v>119</v>
      </c>
      <c r="CD218">
        <v>25.4</v>
      </c>
      <c r="CO218" t="s">
        <v>88</v>
      </c>
      <c r="CY218" s="24"/>
    </row>
    <row r="219" spans="1:103" ht="16.5" x14ac:dyDescent="0.35">
      <c r="A219">
        <v>98</v>
      </c>
      <c r="B219" s="1">
        <v>319</v>
      </c>
      <c r="C219" t="s">
        <v>120</v>
      </c>
      <c r="D219">
        <v>2003</v>
      </c>
      <c r="E219" t="s">
        <v>470</v>
      </c>
      <c r="G219" s="29" t="s">
        <v>414</v>
      </c>
      <c r="I219" t="s">
        <v>190</v>
      </c>
      <c r="J219">
        <v>60.417000000000002</v>
      </c>
      <c r="K219">
        <v>24.367000000000001</v>
      </c>
      <c r="O219" t="s">
        <v>304</v>
      </c>
      <c r="R219" s="24" t="s">
        <v>220</v>
      </c>
      <c r="S219" s="24" t="s">
        <v>82</v>
      </c>
      <c r="T219" t="s">
        <v>338</v>
      </c>
      <c r="U219">
        <v>84</v>
      </c>
      <c r="V219" t="s">
        <v>187</v>
      </c>
      <c r="W219" s="30" t="s">
        <v>414</v>
      </c>
      <c r="Y219" t="s">
        <v>87</v>
      </c>
      <c r="Z219" s="14">
        <v>0.51</v>
      </c>
      <c r="AA219" s="22"/>
      <c r="AC219" t="s">
        <v>277</v>
      </c>
      <c r="AJ219">
        <v>3.7999999999999999E-2</v>
      </c>
      <c r="AQ219" t="s">
        <v>88</v>
      </c>
      <c r="AR219" t="s">
        <v>88</v>
      </c>
      <c r="AS219" t="s">
        <v>88</v>
      </c>
      <c r="AV219" t="s">
        <v>378</v>
      </c>
      <c r="AW219" s="30" t="s">
        <v>414</v>
      </c>
      <c r="BD219" t="s">
        <v>87</v>
      </c>
      <c r="BE219" s="23"/>
      <c r="BG219">
        <v>2.4</v>
      </c>
      <c r="BH219">
        <v>62</v>
      </c>
      <c r="BM219">
        <v>0.12</v>
      </c>
      <c r="BN219">
        <v>27</v>
      </c>
      <c r="BP219" s="13">
        <v>6000</v>
      </c>
      <c r="BQ219" s="13">
        <v>12</v>
      </c>
      <c r="BR219">
        <v>5</v>
      </c>
      <c r="BX219" t="s">
        <v>629</v>
      </c>
      <c r="BY219" t="s">
        <v>96</v>
      </c>
      <c r="CI219" t="s">
        <v>760</v>
      </c>
      <c r="CL219" t="s">
        <v>88</v>
      </c>
      <c r="CR219" t="s">
        <v>454</v>
      </c>
      <c r="CY219" s="24"/>
    </row>
    <row r="220" spans="1:103" ht="16.5" x14ac:dyDescent="0.35">
      <c r="A220">
        <v>99</v>
      </c>
      <c r="B220" s="1">
        <v>319</v>
      </c>
      <c r="C220" t="s">
        <v>120</v>
      </c>
      <c r="D220">
        <v>2003</v>
      </c>
      <c r="E220" t="s">
        <v>471</v>
      </c>
      <c r="G220" s="30" t="s">
        <v>415</v>
      </c>
      <c r="I220" t="s">
        <v>190</v>
      </c>
      <c r="J220">
        <v>60.933</v>
      </c>
      <c r="K220">
        <v>22.933</v>
      </c>
      <c r="O220" t="s">
        <v>304</v>
      </c>
      <c r="R220" s="24" t="s">
        <v>220</v>
      </c>
      <c r="S220" s="24" t="s">
        <v>82</v>
      </c>
      <c r="T220" t="s">
        <v>338</v>
      </c>
      <c r="U220">
        <v>126</v>
      </c>
      <c r="V220" t="s">
        <v>187</v>
      </c>
      <c r="W220" s="30" t="s">
        <v>415</v>
      </c>
      <c r="Y220" t="s">
        <v>87</v>
      </c>
      <c r="Z220" s="14">
        <v>0.122</v>
      </c>
      <c r="AA220" s="22"/>
      <c r="AC220" t="s">
        <v>277</v>
      </c>
      <c r="AJ220">
        <v>2.5999999999999999E-2</v>
      </c>
      <c r="AQ220" t="s">
        <v>88</v>
      </c>
      <c r="AR220" t="s">
        <v>88</v>
      </c>
      <c r="AS220" t="s">
        <v>87</v>
      </c>
      <c r="AV220" t="s">
        <v>378</v>
      </c>
      <c r="AW220" s="30" t="s">
        <v>415</v>
      </c>
      <c r="BD220" t="s">
        <v>87</v>
      </c>
      <c r="BE220" s="23"/>
      <c r="BG220">
        <v>0.81</v>
      </c>
      <c r="BH220">
        <v>6.5</v>
      </c>
      <c r="BM220">
        <v>-0.47</v>
      </c>
      <c r="BN220">
        <v>-19.5</v>
      </c>
      <c r="BP220" s="13">
        <v>4800</v>
      </c>
      <c r="BQ220" s="13">
        <v>90</v>
      </c>
      <c r="BR220">
        <v>0.53</v>
      </c>
      <c r="BX220" t="s">
        <v>629</v>
      </c>
      <c r="BY220" t="s">
        <v>96</v>
      </c>
      <c r="CL220" t="s">
        <v>88</v>
      </c>
      <c r="CR220" t="s">
        <v>454</v>
      </c>
      <c r="CY220" s="24"/>
    </row>
    <row r="221" spans="1:103" ht="16.5" x14ac:dyDescent="0.35">
      <c r="A221">
        <v>100</v>
      </c>
      <c r="B221" s="1">
        <v>319</v>
      </c>
      <c r="C221" t="s">
        <v>120</v>
      </c>
      <c r="D221">
        <v>2003</v>
      </c>
      <c r="E221" t="s">
        <v>472</v>
      </c>
      <c r="G221" s="30" t="s">
        <v>415</v>
      </c>
      <c r="I221" t="s">
        <v>190</v>
      </c>
      <c r="J221">
        <v>60.133000000000003</v>
      </c>
      <c r="K221">
        <v>24.082999999999998</v>
      </c>
      <c r="O221" t="s">
        <v>304</v>
      </c>
      <c r="R221" s="24" t="s">
        <v>220</v>
      </c>
      <c r="S221" s="24" t="s">
        <v>82</v>
      </c>
      <c r="T221" t="s">
        <v>731</v>
      </c>
      <c r="U221">
        <v>85</v>
      </c>
      <c r="V221" t="s">
        <v>187</v>
      </c>
      <c r="W221" s="30" t="s">
        <v>415</v>
      </c>
      <c r="Y221" t="s">
        <v>87</v>
      </c>
      <c r="Z221" s="14">
        <v>6.7000000000000004E-2</v>
      </c>
      <c r="AA221" s="22"/>
      <c r="AC221" t="s">
        <v>277</v>
      </c>
      <c r="AJ221">
        <v>8.9999999999999993E-3</v>
      </c>
      <c r="AQ221" t="s">
        <v>88</v>
      </c>
      <c r="AR221" t="s">
        <v>88</v>
      </c>
      <c r="AS221" t="s">
        <v>87</v>
      </c>
      <c r="AV221" t="s">
        <v>416</v>
      </c>
      <c r="AW221" s="30" t="s">
        <v>415</v>
      </c>
      <c r="BD221" t="s">
        <v>87</v>
      </c>
      <c r="BE221" s="23"/>
      <c r="BG221">
        <v>0.16</v>
      </c>
      <c r="BH221">
        <v>14.5</v>
      </c>
      <c r="BM221">
        <v>1.4999999999999999E-2</v>
      </c>
      <c r="BN221">
        <v>7.5</v>
      </c>
      <c r="BP221" s="13">
        <v>600000</v>
      </c>
      <c r="BQ221" s="13">
        <v>2000</v>
      </c>
      <c r="BR221">
        <v>3</v>
      </c>
      <c r="BX221" t="s">
        <v>617</v>
      </c>
      <c r="BY221" t="s">
        <v>96</v>
      </c>
      <c r="CL221" t="s">
        <v>88</v>
      </c>
      <c r="CR221" t="s">
        <v>454</v>
      </c>
      <c r="CY221" s="24"/>
    </row>
    <row r="222" spans="1:103" x14ac:dyDescent="0.35">
      <c r="A222">
        <v>116</v>
      </c>
      <c r="B222" s="1">
        <v>320</v>
      </c>
      <c r="C222" t="s">
        <v>167</v>
      </c>
      <c r="D222">
        <v>2013</v>
      </c>
      <c r="E222" t="s">
        <v>907</v>
      </c>
      <c r="G222" s="30">
        <v>2010</v>
      </c>
      <c r="H222">
        <v>1</v>
      </c>
      <c r="I222" t="s">
        <v>197</v>
      </c>
      <c r="J222">
        <v>59.234000000000002</v>
      </c>
      <c r="K222">
        <v>17.712</v>
      </c>
      <c r="O222" t="s">
        <v>267</v>
      </c>
      <c r="Q222">
        <v>5</v>
      </c>
      <c r="R222" t="s">
        <v>220</v>
      </c>
      <c r="S222" s="24" t="s">
        <v>82</v>
      </c>
      <c r="T222" t="s">
        <v>733</v>
      </c>
      <c r="V222" t="s">
        <v>187</v>
      </c>
      <c r="W222" s="30">
        <v>2010</v>
      </c>
      <c r="X222" t="s">
        <v>238</v>
      </c>
      <c r="Y222" t="s">
        <v>87</v>
      </c>
      <c r="Z222" s="22">
        <v>0.25</v>
      </c>
      <c r="AA222" s="22">
        <v>0.17</v>
      </c>
      <c r="AB222" s="36">
        <v>32</v>
      </c>
      <c r="AC222" t="s">
        <v>107</v>
      </c>
      <c r="AQ222" t="s">
        <v>87</v>
      </c>
      <c r="AR222" t="s">
        <v>88</v>
      </c>
      <c r="AS222" t="s">
        <v>87</v>
      </c>
      <c r="AV222" t="s">
        <v>231</v>
      </c>
      <c r="AW222" s="30">
        <v>2010</v>
      </c>
      <c r="AX222" t="s">
        <v>523</v>
      </c>
      <c r="BC222" t="s">
        <v>261</v>
      </c>
      <c r="BD222" t="s">
        <v>83</v>
      </c>
      <c r="BE222">
        <v>19.2</v>
      </c>
      <c r="BF222" s="36">
        <v>13.8</v>
      </c>
      <c r="BG222">
        <v>5.4</v>
      </c>
      <c r="BH222" s="36">
        <v>28.13</v>
      </c>
      <c r="BP222">
        <v>800</v>
      </c>
      <c r="BQ222">
        <v>26</v>
      </c>
      <c r="BR222">
        <v>0.3</v>
      </c>
      <c r="BS222">
        <v>3</v>
      </c>
      <c r="BT222">
        <v>3</v>
      </c>
      <c r="BV222">
        <v>0.3</v>
      </c>
      <c r="BW222">
        <v>1</v>
      </c>
      <c r="BX222" t="s">
        <v>741</v>
      </c>
      <c r="BY222" t="s">
        <v>96</v>
      </c>
      <c r="CD222">
        <v>53</v>
      </c>
      <c r="CI222" t="s">
        <v>265</v>
      </c>
      <c r="CK222" t="s">
        <v>264</v>
      </c>
      <c r="CQ222" s="24" t="s">
        <v>301</v>
      </c>
      <c r="CR222" t="s">
        <v>83</v>
      </c>
      <c r="CU222" t="s">
        <v>83</v>
      </c>
      <c r="CV222" t="s">
        <v>83</v>
      </c>
      <c r="CY222" s="24" t="s">
        <v>896</v>
      </c>
    </row>
    <row r="223" spans="1:103" x14ac:dyDescent="0.35">
      <c r="A223">
        <v>117</v>
      </c>
      <c r="B223" s="1">
        <v>320</v>
      </c>
      <c r="C223" t="s">
        <v>167</v>
      </c>
      <c r="D223">
        <v>2013</v>
      </c>
      <c r="E223" t="s">
        <v>907</v>
      </c>
      <c r="G223" s="30">
        <v>2011</v>
      </c>
      <c r="H223">
        <v>1</v>
      </c>
      <c r="I223" t="s">
        <v>197</v>
      </c>
      <c r="J223">
        <v>59.234000000000002</v>
      </c>
      <c r="K223">
        <v>17.712</v>
      </c>
      <c r="O223" t="s">
        <v>267</v>
      </c>
      <c r="Q223">
        <v>17</v>
      </c>
      <c r="R223" t="s">
        <v>220</v>
      </c>
      <c r="S223" s="24" t="s">
        <v>82</v>
      </c>
      <c r="T223" t="s">
        <v>733</v>
      </c>
      <c r="V223" t="s">
        <v>187</v>
      </c>
      <c r="W223" s="30">
        <v>2011</v>
      </c>
      <c r="X223" t="s">
        <v>238</v>
      </c>
      <c r="Y223" t="s">
        <v>87</v>
      </c>
      <c r="Z223" s="22">
        <v>0.36</v>
      </c>
      <c r="AA223" s="22">
        <v>0.2</v>
      </c>
      <c r="AB223" s="36">
        <v>44.44</v>
      </c>
      <c r="AC223" t="s">
        <v>107</v>
      </c>
      <c r="AQ223" t="s">
        <v>87</v>
      </c>
      <c r="AR223" t="s">
        <v>88</v>
      </c>
      <c r="AS223" t="s">
        <v>87</v>
      </c>
      <c r="AV223" t="s">
        <v>231</v>
      </c>
      <c r="AW223" s="30">
        <v>2011</v>
      </c>
      <c r="AX223" t="s">
        <v>523</v>
      </c>
      <c r="BC223" t="s">
        <v>261</v>
      </c>
      <c r="BD223" t="s">
        <v>83</v>
      </c>
      <c r="BE223">
        <v>19.399999999999999</v>
      </c>
      <c r="BF223" s="36">
        <v>11</v>
      </c>
      <c r="BG223">
        <v>8.4</v>
      </c>
      <c r="BH223" s="36">
        <v>43.3</v>
      </c>
      <c r="BP223">
        <v>800</v>
      </c>
      <c r="BQ223">
        <v>26</v>
      </c>
      <c r="BR223">
        <v>0.3</v>
      </c>
      <c r="BS223">
        <v>3</v>
      </c>
      <c r="BT223">
        <v>3</v>
      </c>
      <c r="BV223">
        <v>0.3</v>
      </c>
      <c r="BW223">
        <v>1</v>
      </c>
      <c r="BX223" t="s">
        <v>741</v>
      </c>
      <c r="BY223" t="s">
        <v>96</v>
      </c>
      <c r="CD223">
        <v>67</v>
      </c>
      <c r="CI223" t="s">
        <v>265</v>
      </c>
      <c r="CK223" t="s">
        <v>264</v>
      </c>
      <c r="CQ223" s="24" t="s">
        <v>301</v>
      </c>
      <c r="CR223" t="s">
        <v>83</v>
      </c>
      <c r="CS223" t="s">
        <v>266</v>
      </c>
      <c r="CU223" t="s">
        <v>83</v>
      </c>
      <c r="CV223" t="s">
        <v>83</v>
      </c>
      <c r="CY223" s="24" t="s">
        <v>896</v>
      </c>
    </row>
    <row r="224" spans="1:103" x14ac:dyDescent="0.35">
      <c r="A224">
        <v>164</v>
      </c>
      <c r="B224" s="1">
        <v>321</v>
      </c>
      <c r="C224" t="s">
        <v>128</v>
      </c>
      <c r="D224">
        <v>2018</v>
      </c>
      <c r="E224" t="s">
        <v>475</v>
      </c>
      <c r="G224" t="s">
        <v>669</v>
      </c>
      <c r="H224">
        <v>2</v>
      </c>
      <c r="I224" t="s">
        <v>69</v>
      </c>
      <c r="J224">
        <v>26.173999999999999</v>
      </c>
      <c r="K224">
        <v>-81.789000000000001</v>
      </c>
      <c r="O224" t="s">
        <v>80</v>
      </c>
      <c r="R224" t="s">
        <v>670</v>
      </c>
      <c r="S224" s="24" t="s">
        <v>82</v>
      </c>
      <c r="W224" s="30" t="s">
        <v>669</v>
      </c>
      <c r="Y224" t="s">
        <v>87</v>
      </c>
      <c r="Z224" s="22"/>
      <c r="AA224" s="22"/>
      <c r="AQ224" t="s">
        <v>88</v>
      </c>
      <c r="AR224" t="s">
        <v>87</v>
      </c>
      <c r="AS224" t="s">
        <v>87</v>
      </c>
      <c r="AV224" t="s">
        <v>672</v>
      </c>
      <c r="AX224" t="s">
        <v>673</v>
      </c>
      <c r="AY224">
        <v>1129200</v>
      </c>
      <c r="BA224">
        <v>856800</v>
      </c>
      <c r="BE224">
        <v>4.54</v>
      </c>
      <c r="BF224">
        <v>2.02</v>
      </c>
      <c r="BG224" s="36">
        <v>2.52</v>
      </c>
      <c r="BH224">
        <v>55</v>
      </c>
      <c r="BP224">
        <v>46000</v>
      </c>
      <c r="BQ224">
        <v>3139</v>
      </c>
      <c r="CD224">
        <v>26.05</v>
      </c>
      <c r="CH224" t="s">
        <v>104</v>
      </c>
      <c r="CQ224" t="s">
        <v>873</v>
      </c>
      <c r="CY224" s="24" t="s">
        <v>714</v>
      </c>
    </row>
    <row r="225" spans="1:103" x14ac:dyDescent="0.35">
      <c r="A225">
        <v>71</v>
      </c>
      <c r="B225" s="1">
        <v>322</v>
      </c>
      <c r="C225" t="s">
        <v>138</v>
      </c>
      <c r="D225">
        <v>2011</v>
      </c>
      <c r="E225" t="s">
        <v>500</v>
      </c>
      <c r="G225" t="s">
        <v>823</v>
      </c>
      <c r="H225">
        <v>4</v>
      </c>
      <c r="I225" t="s">
        <v>197</v>
      </c>
      <c r="J225">
        <v>58.994</v>
      </c>
      <c r="K225">
        <v>17.376999999999999</v>
      </c>
      <c r="R225" t="s">
        <v>822</v>
      </c>
      <c r="S225" s="24" t="s">
        <v>82</v>
      </c>
      <c r="T225" t="s">
        <v>661</v>
      </c>
      <c r="V225" t="s">
        <v>222</v>
      </c>
      <c r="W225" t="s">
        <v>823</v>
      </c>
      <c r="Y225" t="s">
        <v>87</v>
      </c>
      <c r="Z225" s="22"/>
      <c r="AA225" s="22"/>
      <c r="AQ225" t="s">
        <v>87</v>
      </c>
      <c r="AR225" t="s">
        <v>88</v>
      </c>
      <c r="AS225" t="s">
        <v>88</v>
      </c>
      <c r="AW225" t="s">
        <v>823</v>
      </c>
      <c r="AX225" t="s">
        <v>359</v>
      </c>
      <c r="BD225" t="s">
        <v>87</v>
      </c>
      <c r="BE225">
        <v>1.63</v>
      </c>
      <c r="BF225">
        <v>1.35</v>
      </c>
      <c r="BG225">
        <v>0.28000000000000003</v>
      </c>
      <c r="BH225">
        <v>17</v>
      </c>
      <c r="BP225">
        <v>21000</v>
      </c>
      <c r="BQ225">
        <v>96</v>
      </c>
      <c r="BR225">
        <v>2.19</v>
      </c>
      <c r="BV225">
        <v>0.5</v>
      </c>
      <c r="BX225" t="s">
        <v>824</v>
      </c>
      <c r="BY225" t="s">
        <v>96</v>
      </c>
      <c r="CD225">
        <v>7</v>
      </c>
      <c r="CE225">
        <v>3</v>
      </c>
      <c r="CI225" t="s">
        <v>265</v>
      </c>
      <c r="CJ225" t="s">
        <v>825</v>
      </c>
      <c r="CQ225" t="s">
        <v>826</v>
      </c>
      <c r="CX225" t="s">
        <v>821</v>
      </c>
      <c r="CY225" s="24"/>
    </row>
    <row r="226" spans="1:103" x14ac:dyDescent="0.35">
      <c r="A226">
        <v>16</v>
      </c>
      <c r="B226" s="1">
        <v>329</v>
      </c>
      <c r="C226" t="s">
        <v>132</v>
      </c>
      <c r="D226">
        <v>2002</v>
      </c>
      <c r="E226" t="s">
        <v>904</v>
      </c>
      <c r="G226" t="s">
        <v>562</v>
      </c>
      <c r="H226">
        <v>8</v>
      </c>
      <c r="I226" t="s">
        <v>194</v>
      </c>
      <c r="N226">
        <v>750</v>
      </c>
      <c r="R226" t="s">
        <v>220</v>
      </c>
      <c r="S226" s="24" t="s">
        <v>82</v>
      </c>
      <c r="T226" t="s">
        <v>561</v>
      </c>
      <c r="V226" t="s">
        <v>187</v>
      </c>
      <c r="W226" t="s">
        <v>563</v>
      </c>
      <c r="Y226" t="s">
        <v>87</v>
      </c>
      <c r="Z226" s="22">
        <v>0.17</v>
      </c>
      <c r="AA226" s="22">
        <v>0.1</v>
      </c>
      <c r="AB226">
        <v>41.12</v>
      </c>
      <c r="AC226" t="s">
        <v>277</v>
      </c>
      <c r="AQ226" t="s">
        <v>87</v>
      </c>
      <c r="AR226" t="s">
        <v>87</v>
      </c>
      <c r="AS226" t="s">
        <v>88</v>
      </c>
      <c r="AW226" t="s">
        <v>562</v>
      </c>
      <c r="AX226" t="s">
        <v>523</v>
      </c>
      <c r="BD226" t="s">
        <v>87</v>
      </c>
      <c r="BE226">
        <v>97</v>
      </c>
      <c r="BF226" s="36">
        <f>BE226-BG226</f>
        <v>57</v>
      </c>
      <c r="BG226">
        <v>40</v>
      </c>
      <c r="BH226">
        <v>41</v>
      </c>
      <c r="BI226">
        <v>316</v>
      </c>
      <c r="BK226">
        <f>BE226-BG226</f>
        <v>57</v>
      </c>
      <c r="BP226">
        <v>900</v>
      </c>
      <c r="BQ226">
        <v>148</v>
      </c>
      <c r="BR226">
        <v>0.06</v>
      </c>
      <c r="BX226" t="s">
        <v>560</v>
      </c>
      <c r="BY226" t="s">
        <v>96</v>
      </c>
      <c r="BZ226" t="s">
        <v>95</v>
      </c>
      <c r="CA226" t="s">
        <v>558</v>
      </c>
      <c r="CB226" t="s">
        <v>558</v>
      </c>
      <c r="CD226">
        <v>595</v>
      </c>
      <c r="CY226" s="24" t="s">
        <v>613</v>
      </c>
    </row>
    <row r="227" spans="1:103" x14ac:dyDescent="0.35">
      <c r="A227">
        <v>17</v>
      </c>
      <c r="B227" s="1">
        <v>329</v>
      </c>
      <c r="C227" t="s">
        <v>132</v>
      </c>
      <c r="D227">
        <v>2002</v>
      </c>
      <c r="E227" t="s">
        <v>905</v>
      </c>
      <c r="G227" t="s">
        <v>556</v>
      </c>
      <c r="H227">
        <v>7</v>
      </c>
      <c r="I227" t="s">
        <v>194</v>
      </c>
      <c r="R227" t="s">
        <v>220</v>
      </c>
      <c r="S227" s="24" t="s">
        <v>82</v>
      </c>
      <c r="T227" t="s">
        <v>561</v>
      </c>
      <c r="V227" t="s">
        <v>187</v>
      </c>
      <c r="W227" t="s">
        <v>563</v>
      </c>
      <c r="Y227" t="s">
        <v>87</v>
      </c>
      <c r="Z227" s="22">
        <v>0.25</v>
      </c>
      <c r="AA227" s="22">
        <v>0.17</v>
      </c>
      <c r="AB227">
        <v>32</v>
      </c>
      <c r="AC227" t="s">
        <v>277</v>
      </c>
      <c r="AQ227" t="s">
        <v>87</v>
      </c>
      <c r="AR227" t="s">
        <v>87</v>
      </c>
      <c r="AS227" t="s">
        <v>88</v>
      </c>
      <c r="AW227" t="s">
        <v>556</v>
      </c>
      <c r="AX227" t="s">
        <v>523</v>
      </c>
      <c r="BD227" t="s">
        <v>87</v>
      </c>
      <c r="BE227">
        <v>178</v>
      </c>
      <c r="BF227" s="36">
        <f>BE227-BG227</f>
        <v>121</v>
      </c>
      <c r="BG227">
        <v>57</v>
      </c>
      <c r="BH227">
        <v>32</v>
      </c>
      <c r="BI227">
        <v>255</v>
      </c>
      <c r="BK227">
        <f>BE227-BG227</f>
        <v>121</v>
      </c>
      <c r="BP227">
        <v>345</v>
      </c>
      <c r="BQ227">
        <v>50</v>
      </c>
      <c r="BR227">
        <v>7.0000000000000007E-2</v>
      </c>
      <c r="BX227" t="s">
        <v>560</v>
      </c>
      <c r="BY227" t="s">
        <v>96</v>
      </c>
      <c r="BZ227" t="s">
        <v>95</v>
      </c>
      <c r="CA227" t="s">
        <v>558</v>
      </c>
      <c r="CB227" t="s">
        <v>558</v>
      </c>
      <c r="CD227">
        <v>661</v>
      </c>
      <c r="CY227" s="24" t="s">
        <v>613</v>
      </c>
    </row>
    <row r="228" spans="1:103" x14ac:dyDescent="0.35">
      <c r="A228">
        <v>18</v>
      </c>
      <c r="B228" s="1">
        <v>329</v>
      </c>
      <c r="C228" t="s">
        <v>132</v>
      </c>
      <c r="D228">
        <v>2002</v>
      </c>
      <c r="E228" t="s">
        <v>906</v>
      </c>
      <c r="G228" t="s">
        <v>557</v>
      </c>
      <c r="H228">
        <v>4</v>
      </c>
      <c r="I228" t="s">
        <v>194</v>
      </c>
      <c r="R228" t="s">
        <v>220</v>
      </c>
      <c r="S228" s="24" t="s">
        <v>82</v>
      </c>
      <c r="T228" t="s">
        <v>561</v>
      </c>
      <c r="V228" t="s">
        <v>187</v>
      </c>
      <c r="W228" t="s">
        <v>557</v>
      </c>
      <c r="Y228" t="s">
        <v>87</v>
      </c>
      <c r="Z228" s="22">
        <v>0.22</v>
      </c>
      <c r="AA228" s="22">
        <v>0.17</v>
      </c>
      <c r="AB228">
        <v>22.73</v>
      </c>
      <c r="AC228" t="s">
        <v>277</v>
      </c>
      <c r="AQ228" t="s">
        <v>87</v>
      </c>
      <c r="AR228" t="s">
        <v>87</v>
      </c>
      <c r="AS228" t="s">
        <v>88</v>
      </c>
      <c r="AW228" t="s">
        <v>557</v>
      </c>
      <c r="AX228" t="s">
        <v>523</v>
      </c>
      <c r="BD228" t="s">
        <v>87</v>
      </c>
      <c r="BE228">
        <v>124</v>
      </c>
      <c r="BF228" s="36">
        <f>BE228-BG228</f>
        <v>98</v>
      </c>
      <c r="BG228">
        <v>26</v>
      </c>
      <c r="BH228">
        <v>21</v>
      </c>
      <c r="BI228">
        <v>152</v>
      </c>
      <c r="BK228">
        <f>BE228-BG228</f>
        <v>98</v>
      </c>
      <c r="BP228">
        <v>870</v>
      </c>
      <c r="BQ228">
        <v>103</v>
      </c>
      <c r="BR228">
        <v>0.08</v>
      </c>
      <c r="BX228" t="s">
        <v>560</v>
      </c>
      <c r="BY228" t="s">
        <v>96</v>
      </c>
      <c r="BZ228" t="s">
        <v>95</v>
      </c>
      <c r="CA228" t="s">
        <v>559</v>
      </c>
      <c r="CB228" t="s">
        <v>559</v>
      </c>
      <c r="CD228">
        <v>588</v>
      </c>
      <c r="CY228" s="24" t="s">
        <v>613</v>
      </c>
    </row>
    <row r="229" spans="1:103" x14ac:dyDescent="0.35">
      <c r="A229">
        <v>19</v>
      </c>
      <c r="B229" s="1">
        <v>329</v>
      </c>
      <c r="C229" t="s">
        <v>132</v>
      </c>
      <c r="D229">
        <v>2002</v>
      </c>
      <c r="E229" t="s">
        <v>554</v>
      </c>
      <c r="G229" t="s">
        <v>557</v>
      </c>
      <c r="H229">
        <v>3</v>
      </c>
      <c r="I229" t="s">
        <v>194</v>
      </c>
      <c r="N229">
        <v>1400</v>
      </c>
      <c r="R229" t="s">
        <v>220</v>
      </c>
      <c r="S229" s="24" t="s">
        <v>82</v>
      </c>
      <c r="T229" t="s">
        <v>561</v>
      </c>
      <c r="V229" t="s">
        <v>187</v>
      </c>
      <c r="W229" t="s">
        <v>557</v>
      </c>
      <c r="Y229" t="s">
        <v>87</v>
      </c>
      <c r="Z229" s="22">
        <v>0.43</v>
      </c>
      <c r="AA229" s="22">
        <v>0.27</v>
      </c>
      <c r="AB229">
        <v>37.21</v>
      </c>
      <c r="AC229" t="s">
        <v>277</v>
      </c>
      <c r="AQ229" t="s">
        <v>87</v>
      </c>
      <c r="AR229" t="s">
        <v>87</v>
      </c>
      <c r="AS229" t="s">
        <v>88</v>
      </c>
      <c r="AW229" t="s">
        <v>557</v>
      </c>
      <c r="AX229" t="s">
        <v>523</v>
      </c>
      <c r="BD229" t="s">
        <v>87</v>
      </c>
      <c r="BE229">
        <v>191</v>
      </c>
      <c r="BF229" s="36">
        <f>BE229-BG229</f>
        <v>120</v>
      </c>
      <c r="BG229">
        <v>71</v>
      </c>
      <c r="BH229">
        <v>37</v>
      </c>
      <c r="BI229">
        <v>207</v>
      </c>
      <c r="BK229">
        <f>BE229-BG229</f>
        <v>120</v>
      </c>
      <c r="BP229">
        <v>460</v>
      </c>
      <c r="BQ229">
        <v>22</v>
      </c>
      <c r="BR229">
        <v>0.21</v>
      </c>
      <c r="BX229" t="s">
        <v>560</v>
      </c>
      <c r="BY229" t="s">
        <v>96</v>
      </c>
      <c r="BZ229" t="s">
        <v>95</v>
      </c>
      <c r="CA229" t="s">
        <v>558</v>
      </c>
      <c r="CB229" t="s">
        <v>558</v>
      </c>
      <c r="CD229">
        <v>445</v>
      </c>
      <c r="CY229" s="24" t="s">
        <v>613</v>
      </c>
    </row>
    <row r="230" spans="1:103" x14ac:dyDescent="0.35">
      <c r="A230">
        <v>20</v>
      </c>
      <c r="B230" s="1">
        <v>329</v>
      </c>
      <c r="C230" t="s">
        <v>132</v>
      </c>
      <c r="D230">
        <v>2002</v>
      </c>
      <c r="E230" t="s">
        <v>555</v>
      </c>
      <c r="G230" t="s">
        <v>557</v>
      </c>
      <c r="H230">
        <v>4</v>
      </c>
      <c r="I230" t="s">
        <v>194</v>
      </c>
      <c r="N230">
        <v>1400</v>
      </c>
      <c r="R230" t="s">
        <v>220</v>
      </c>
      <c r="S230" s="24" t="s">
        <v>82</v>
      </c>
      <c r="T230" t="s">
        <v>561</v>
      </c>
      <c r="V230" t="s">
        <v>187</v>
      </c>
      <c r="W230" t="s">
        <v>557</v>
      </c>
      <c r="Y230" t="s">
        <v>87</v>
      </c>
      <c r="Z230" s="22">
        <v>0.43</v>
      </c>
      <c r="AA230" s="22">
        <v>0.24</v>
      </c>
      <c r="AB230">
        <v>44.19</v>
      </c>
      <c r="AC230" t="s">
        <v>277</v>
      </c>
      <c r="AQ230" t="s">
        <v>87</v>
      </c>
      <c r="AR230" t="s">
        <v>87</v>
      </c>
      <c r="AS230" t="s">
        <v>88</v>
      </c>
      <c r="AW230" t="s">
        <v>557</v>
      </c>
      <c r="AX230" t="s">
        <v>523</v>
      </c>
      <c r="BD230" t="s">
        <v>87</v>
      </c>
      <c r="BE230">
        <v>106</v>
      </c>
      <c r="BF230" s="36">
        <f>BE230-BG230</f>
        <v>59</v>
      </c>
      <c r="BG230">
        <v>47</v>
      </c>
      <c r="BH230">
        <v>44</v>
      </c>
      <c r="BI230">
        <v>140</v>
      </c>
      <c r="BK230">
        <f>BE230-BG230</f>
        <v>59</v>
      </c>
      <c r="BP230">
        <v>840</v>
      </c>
      <c r="BQ230">
        <v>22</v>
      </c>
      <c r="BR230">
        <v>0.38</v>
      </c>
      <c r="BX230" t="s">
        <v>560</v>
      </c>
      <c r="BY230" t="s">
        <v>96</v>
      </c>
      <c r="BZ230" t="s">
        <v>95</v>
      </c>
      <c r="CA230" t="s">
        <v>558</v>
      </c>
      <c r="CB230" t="s">
        <v>558</v>
      </c>
      <c r="CD230">
        <v>241</v>
      </c>
      <c r="CY230" s="24" t="s">
        <v>613</v>
      </c>
    </row>
  </sheetData>
  <sortState xmlns:xlrd2="http://schemas.microsoft.com/office/spreadsheetml/2017/richdata2" ref="A3:DA230">
    <sortCondition ref="B3:B230"/>
  </sortState>
  <mergeCells count="6">
    <mergeCell ref="CR1:CX1"/>
    <mergeCell ref="A1:Q1"/>
    <mergeCell ref="T1:AU1"/>
    <mergeCell ref="AV1:BD1"/>
    <mergeCell ref="BE1:BO1"/>
    <mergeCell ref="BP1:CQ1"/>
  </mergeCells>
  <conditionalFormatting sqref="G4:G39">
    <cfRule type="expression" dxfId="12" priority="12">
      <formula>#REF!&lt;&gt;#REF!</formula>
    </cfRule>
  </conditionalFormatting>
  <conditionalFormatting sqref="J27:J29">
    <cfRule type="expression" dxfId="11" priority="8">
      <formula>#REF!&lt;&gt;#REF!</formula>
    </cfRule>
  </conditionalFormatting>
  <conditionalFormatting sqref="J32:J34 BQ39:BQ43">
    <cfRule type="expression" dxfId="10" priority="7">
      <formula>#REF!&lt;&gt;#REF!</formula>
    </cfRule>
  </conditionalFormatting>
  <conditionalFormatting sqref="J3:K26 BE3:BE26 Z3:Z28 BP3:BP43 W4:W38 AW9:AW38 Q12:Q14 M12:M26 BG12:BH26 O12:O30 Z36:Z41 BN37 J131:K131">
    <cfRule type="expression" dxfId="9" priority="4">
      <formula>#REF!&lt;&gt;#REF!</formula>
    </cfRule>
  </conditionalFormatting>
  <conditionalFormatting sqref="J133:K138">
    <cfRule type="expression" dxfId="8" priority="3">
      <formula>#REF!&lt;&gt;#REF!</formula>
    </cfRule>
  </conditionalFormatting>
  <conditionalFormatting sqref="M3:Q11 BG3:BJ11 CD3:CD14 AW4:AX8">
    <cfRule type="expression" dxfId="7" priority="9">
      <formula>#REF!&lt;&gt;#REF!</formula>
    </cfRule>
  </conditionalFormatting>
  <conditionalFormatting sqref="O181:O185 O187">
    <cfRule type="expression" dxfId="6" priority="6">
      <formula>#REF!&lt;&gt;#REF!</formula>
    </cfRule>
  </conditionalFormatting>
  <conditionalFormatting sqref="Z30:Z34">
    <cfRule type="expression" dxfId="5" priority="10">
      <formula>#REF!&lt;&gt;#REF!</formula>
    </cfRule>
  </conditionalFormatting>
  <conditionalFormatting sqref="BG27:BG35 BH31:BH35 BG37">
    <cfRule type="expression" dxfId="4" priority="13">
      <formula>#REF!&lt;&gt;#REF!</formula>
    </cfRule>
  </conditionalFormatting>
  <conditionalFormatting sqref="BH27:BH29 J50:K72">
    <cfRule type="expression" dxfId="3" priority="5">
      <formula>#REF!&lt;&gt;#REF!</formula>
    </cfRule>
  </conditionalFormatting>
  <conditionalFormatting sqref="BP88">
    <cfRule type="expression" dxfId="2" priority="1">
      <formula>#REF!&lt;&gt;#REF!</formula>
    </cfRule>
  </conditionalFormatting>
  <conditionalFormatting sqref="CD16:CD17">
    <cfRule type="expression" dxfId="1" priority="11">
      <formula>#REF!&lt;&gt;#REF!</formula>
    </cfRule>
  </conditionalFormatting>
  <conditionalFormatting sqref="CD88">
    <cfRule type="expression" dxfId="0" priority="2">
      <formula>#REF!&lt;&gt;#REF!</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Wake, Helen (NE)</dc:creator>
  <cp:lastModifiedBy>Chris Webb</cp:lastModifiedBy>
  <dcterms:created xsi:type="dcterms:W3CDTF">2023-08-25T14:21:21Z</dcterms:created>
  <dcterms:modified xsi:type="dcterms:W3CDTF">2025-08-25T16:44:24Z</dcterms:modified>
</cp:coreProperties>
</file>